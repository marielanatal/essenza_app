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00CFA8-F0A3-4865-806B-BCC8BA9CCF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1" r:id="rId1"/>
  </sheets>
  <definedNames>
    <definedName name="_xlnm._FilterDatabase" localSheetId="0" hidden="1">Table1!$A$1:$P$295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5" i="1" l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<sst xmlns="http://schemas.openxmlformats.org/spreadsheetml/2006/main" count="2368" uniqueCount="501">
  <si>
    <t>Conciliado</t>
  </si>
  <si>
    <t>Pagamento ou recebimento</t>
  </si>
  <si>
    <t>Vencimento</t>
  </si>
  <si>
    <t>Previsto Para</t>
  </si>
  <si>
    <t>Contato</t>
  </si>
  <si>
    <t>Descrição</t>
  </si>
  <si>
    <t>Categoria</t>
  </si>
  <si>
    <t>Conta</t>
  </si>
  <si>
    <t>Tipo</t>
  </si>
  <si>
    <t>Anexo</t>
  </si>
  <si>
    <t>Valor da Categoria</t>
  </si>
  <si>
    <t>Valor a receber</t>
  </si>
  <si>
    <t>Valor a pagar</t>
  </si>
  <si>
    <t>Valor pago</t>
  </si>
  <si>
    <t>Valor recebido</t>
  </si>
  <si>
    <t>27/11/2025</t>
  </si>
  <si>
    <t>03/11/2025</t>
  </si>
  <si>
    <t>Cookies Acai Ltda</t>
  </si>
  <si>
    <t>Café Cleu - Viagem Foz</t>
  </si>
  <si>
    <t>Copa e Cozinha</t>
  </si>
  <si>
    <t>Nubank - Conta corrente</t>
  </si>
  <si>
    <t>Pago</t>
  </si>
  <si>
    <t>Joinads</t>
  </si>
  <si>
    <t>WorkShop  - 2/2</t>
  </si>
  <si>
    <t>Oraculo Empresarial</t>
  </si>
  <si>
    <t>Sicoob - Conta corrente</t>
  </si>
  <si>
    <t>Recebido</t>
  </si>
  <si>
    <t>Comercio de Papeis Foz Eireli</t>
  </si>
  <si>
    <t>Papelaria - Treino Foz do Iguaçu</t>
  </si>
  <si>
    <t>Material de escritório</t>
  </si>
  <si>
    <t>02/11/2025</t>
  </si>
  <si>
    <t>Sf Digital Grafica Ltda</t>
  </si>
  <si>
    <t>Servicos graficos, artes graficas, tipografia</t>
  </si>
  <si>
    <t>Auto Posto Urucui Ltda</t>
  </si>
  <si>
    <t>Almoço - Viagem Foz</t>
  </si>
  <si>
    <t>05/11/2025</t>
  </si>
  <si>
    <t>Sicoob</t>
  </si>
  <si>
    <t>DÉBITO PACOTE SERVIÇOS</t>
  </si>
  <si>
    <t>Taxas e contribuições</t>
  </si>
  <si>
    <t>Fatura Cartão De Credito - Pessoal</t>
  </si>
  <si>
    <t>Pagamento de fatura</t>
  </si>
  <si>
    <t>11/11/2025</t>
  </si>
  <si>
    <t>Renilda Moura da Silva</t>
  </si>
  <si>
    <t>Ficha de matricula curso de oratoria - turma 03</t>
  </si>
  <si>
    <t>Oraculo Premium</t>
  </si>
  <si>
    <t>GABRIELA FERNANDES VENANCIO</t>
  </si>
  <si>
    <t>Pagamento Por Trabalho em FOZ</t>
  </si>
  <si>
    <t>Serviços contratados</t>
  </si>
  <si>
    <t>Cleusa Caldeira de Souza</t>
  </si>
  <si>
    <t>Transferência enviada|Cleusa Caldeira de Souza</t>
  </si>
  <si>
    <t>Credito Feito a Mais para trabalho em FOZ</t>
  </si>
  <si>
    <t>Estorno de Valor Pago</t>
  </si>
  <si>
    <t>06/11/2025</t>
  </si>
  <si>
    <t>Fornecedor sem Cadastro</t>
  </si>
  <si>
    <t>Almoço - Viagem FOZ</t>
  </si>
  <si>
    <t>Outras despesas</t>
  </si>
  <si>
    <t>07/11/2025</t>
  </si>
  <si>
    <t>Pro - Labore</t>
  </si>
  <si>
    <t>10/11/2025</t>
  </si>
  <si>
    <t>Glauciana Ferreira de Oliveira</t>
  </si>
  <si>
    <t>Ficha de matricula curso de oratoria</t>
  </si>
  <si>
    <t>DEB.PARCELAS SUBSC./INTEGR.</t>
  </si>
  <si>
    <t>Tarifa bancária</t>
  </si>
  <si>
    <t>Posto Mosteiro de Ribeirao Preto Ltda</t>
  </si>
  <si>
    <t>Suco prats laranja 900 ml e pao de queijo lanchinho un</t>
  </si>
  <si>
    <t>25/11/2025</t>
  </si>
  <si>
    <t>Rotatoria do Gas</t>
  </si>
  <si>
    <t>Agua</t>
  </si>
  <si>
    <t>Pina &amp; Barboza Contabilidade Ltda</t>
  </si>
  <si>
    <t>Contabilidade</t>
  </si>
  <si>
    <t>Coffe - |Terça</t>
  </si>
  <si>
    <t>FABIANO PEREIRA DA SILVA 36414915840</t>
  </si>
  <si>
    <t>Pao de queijo 50g prime</t>
  </si>
  <si>
    <t>Serviços de dados - Facebook</t>
  </si>
  <si>
    <t>Panificadora E Mercearia Delicia</t>
  </si>
  <si>
    <t>Spres manga e maracuja 900ml</t>
  </si>
  <si>
    <t>12/11/2025</t>
  </si>
  <si>
    <t>CENERP - CENTRO DE NEGOCIOS DE RIBEIRAO PRETO LTDA</t>
  </si>
  <si>
    <t>Sala de Treinamento - Curso Suco Spress</t>
  </si>
  <si>
    <t>Aluguel e condomínio</t>
  </si>
  <si>
    <t>13/11/2025</t>
  </si>
  <si>
    <t>BUNGE &amp; GUTIERREZ IMPORTACAO E EXPORTACAO LTDA.</t>
  </si>
  <si>
    <t>Curso Empresarial</t>
  </si>
  <si>
    <t>KAYKY RAFAEL DE CARVALHO</t>
  </si>
  <si>
    <t>Capitação de imagens treinamento Suco Spres</t>
  </si>
  <si>
    <t>14/11/2025</t>
  </si>
  <si>
    <t>LA FRANCESE COMERCIO DE ALIMENTOS LTDA</t>
  </si>
  <si>
    <t>Café - Mariela e Cleu</t>
  </si>
  <si>
    <t>15/11/2025</t>
  </si>
  <si>
    <t/>
  </si>
  <si>
    <t>16/11/2025</t>
  </si>
  <si>
    <t>Nailah Gazeta Estevao</t>
  </si>
  <si>
    <t>Ficha de matricula curso de oratoria - turma 03. pagamento via boleto em 4 parcelas. - 1/4</t>
  </si>
  <si>
    <t>Cobrança boleto</t>
  </si>
  <si>
    <t>Nibo Softwares</t>
  </si>
  <si>
    <t>Taxa Pix</t>
  </si>
  <si>
    <t>Custo meio de pagamento</t>
  </si>
  <si>
    <t>17/11/2025</t>
  </si>
  <si>
    <t>Bunge E Gutierrez Importacao E</t>
  </si>
  <si>
    <t>6 garrafas de suco spres laranja e manga com maracuja</t>
  </si>
  <si>
    <t>Sendas Distribuidora S/a</t>
  </si>
  <si>
    <t>Various grocery items</t>
  </si>
  <si>
    <t>18/11/2025</t>
  </si>
  <si>
    <t>Daniela Azevedo</t>
  </si>
  <si>
    <t>Sem descrição</t>
  </si>
  <si>
    <t>Pix Marketplace</t>
  </si>
  <si>
    <t>Transferencia pix</t>
  </si>
  <si>
    <t>QUINHONE &amp; QUINHONE LTDA</t>
  </si>
  <si>
    <t>Bolo du karmo e suco sabores prats 900 ml</t>
  </si>
  <si>
    <t>19/11/2025</t>
  </si>
  <si>
    <t>PAULIANE GOMES DE CAMPOS</t>
  </si>
  <si>
    <t>Compra de HGelo</t>
  </si>
  <si>
    <t>Salgadinhos Bueno</t>
  </si>
  <si>
    <t>100 salgados mistos</t>
  </si>
  <si>
    <t>Padaria do Papai</t>
  </si>
  <si>
    <t>Bolo mesclado e bolo piscininha cenoura com brigadeiro</t>
  </si>
  <si>
    <t>Auto Posto Vitorelli Ltda</t>
  </si>
  <si>
    <t>Gasolina comum</t>
  </si>
  <si>
    <t>Savegnago Supermercados Ltda</t>
  </si>
  <si>
    <t>Diversos produtos de supermercado</t>
  </si>
  <si>
    <t>Complemento compra de gelo</t>
  </si>
  <si>
    <t>Dioredo Padaria Gourmet Eireli</t>
  </si>
  <si>
    <t>Cento mini pao de queijo</t>
  </si>
  <si>
    <t>Apoio coffe</t>
  </si>
  <si>
    <t>21/11/2025</t>
  </si>
  <si>
    <t>20/11/2025</t>
  </si>
  <si>
    <t>Sulfite a4 chamex</t>
  </si>
  <si>
    <t>ANA TIZIOTTI ADMINISTRADORA DE IMOVEIS EIRELI</t>
  </si>
  <si>
    <t>Aluguel - Sala</t>
  </si>
  <si>
    <t>Paulo Polesel</t>
  </si>
  <si>
    <t>Condominio</t>
  </si>
  <si>
    <t>CANASTRA EMPREENDIMENTOS EIRELI</t>
  </si>
  <si>
    <t>Pao de queijo 50g prime, suco natural 900 ml</t>
  </si>
  <si>
    <t>Pagamento Locacao Sala - Treinamento Suco Spress</t>
  </si>
  <si>
    <t>26/11/2025</t>
  </si>
  <si>
    <t>TATIANA DONIZETE CASAROTO LTDA</t>
  </si>
  <si>
    <t>Compra de cadernos e canetas personalizados</t>
  </si>
  <si>
    <t>PLACIDO JOSE GOBBO</t>
  </si>
  <si>
    <t>Impressao material - Suco espress</t>
  </si>
  <si>
    <t>02/10/2025</t>
  </si>
  <si>
    <t>27/09/2025</t>
  </si>
  <si>
    <t>Luiz Tonin Atacadista E Supermercados Sa</t>
  </si>
  <si>
    <t>Copo plastico e guardanapo feminino</t>
  </si>
  <si>
    <t>01/10/2025</t>
  </si>
  <si>
    <t>Capela Conveniencia Ltda</t>
  </si>
  <si>
    <t>Pix enviado</t>
  </si>
  <si>
    <t>03/10/2025</t>
  </si>
  <si>
    <t>Fabricio Maluf</t>
  </si>
  <si>
    <t>Curso - Master</t>
  </si>
  <si>
    <t>Eliezer</t>
  </si>
  <si>
    <t>Disk</t>
  </si>
  <si>
    <t>Oraculo Whorkshop DISC</t>
  </si>
  <si>
    <t>04/10/2025</t>
  </si>
  <si>
    <t>Cafe da Manjã</t>
  </si>
  <si>
    <t>05/10/2025</t>
  </si>
  <si>
    <t>FACEBOOK SERVICOS ONLINE DO BRASIL LTDA.</t>
  </si>
  <si>
    <t>Trafego Pago</t>
  </si>
  <si>
    <t>06/10/2025</t>
  </si>
  <si>
    <t>Pro Labore</t>
  </si>
  <si>
    <t>07/10/2025</t>
  </si>
  <si>
    <t>WorkShop  - 1/2</t>
  </si>
  <si>
    <t>08/10/2025</t>
  </si>
  <si>
    <t>Coffe - Quarta</t>
  </si>
  <si>
    <t>10/10/2025</t>
  </si>
  <si>
    <t>Cia Brasileira de Distribuicao</t>
  </si>
  <si>
    <t>Coffe - Sabado</t>
  </si>
  <si>
    <t>Transferência enviada|PINA  BARBOZA CONTABILIDADE</t>
  </si>
  <si>
    <t>11/10/2025</t>
  </si>
  <si>
    <t>22/10/2025</t>
  </si>
  <si>
    <t>13/10/2025</t>
  </si>
  <si>
    <t>15/10/2025</t>
  </si>
  <si>
    <t>Pao de queijo promocao. observacoes do contribuinte: migre para a nfc-e ate 31.12.2025.</t>
  </si>
  <si>
    <t>20/10/2025</t>
  </si>
  <si>
    <t>Nu Pagamentos S.a. - Instituicao de Pagamento</t>
  </si>
  <si>
    <t>55.832.064 THALES CHRISTOFER ALVES DE OLIVEIRA</t>
  </si>
  <si>
    <t>Compra de Uniformes</t>
  </si>
  <si>
    <t>18/10/2025</t>
  </si>
  <si>
    <t>Panificadora E Confeitaria Almeida Rodrigues Ltda</t>
  </si>
  <si>
    <t>Pao de queijo</t>
  </si>
  <si>
    <t>19/10/2025</t>
  </si>
  <si>
    <t>Compra de cafe e cha</t>
  </si>
  <si>
    <t>21/10/2025</t>
  </si>
  <si>
    <t>Claro</t>
  </si>
  <si>
    <t>Telefone e Internet</t>
  </si>
  <si>
    <t>23/10/2025</t>
  </si>
  <si>
    <t>25/10/2025</t>
  </si>
  <si>
    <t>Coffe - Sábado</t>
  </si>
  <si>
    <t>27/10/2025</t>
  </si>
  <si>
    <t>28/10/2025</t>
  </si>
  <si>
    <t>Marcia Cleia Bertolai</t>
  </si>
  <si>
    <t>29/10/2025</t>
  </si>
  <si>
    <t>Artes graficas, tipografia.</t>
  </si>
  <si>
    <t>03/02/2026</t>
  </si>
  <si>
    <t>27/02/2026</t>
  </si>
  <si>
    <t>25/02/2026</t>
  </si>
  <si>
    <t>23/02/2026</t>
  </si>
  <si>
    <t>21/02/2026</t>
  </si>
  <si>
    <t>19/02/2026</t>
  </si>
  <si>
    <t>11/02/2026</t>
  </si>
  <si>
    <t>10/02/2026</t>
  </si>
  <si>
    <t>09/02/2026</t>
  </si>
  <si>
    <t>06/02/2026</t>
  </si>
  <si>
    <t>05/02/2026</t>
  </si>
  <si>
    <t>04/02/2026</t>
  </si>
  <si>
    <t>30/01/2026</t>
  </si>
  <si>
    <t>29/01/2026</t>
  </si>
  <si>
    <t>01/12/2025</t>
  </si>
  <si>
    <t>22/01/2026</t>
  </si>
  <si>
    <t>21/01/2026</t>
  </si>
  <si>
    <t>15/01/2026</t>
  </si>
  <si>
    <t>12/01/2026</t>
  </si>
  <si>
    <t>10/01/2026</t>
  </si>
  <si>
    <t>06/01/2026</t>
  </si>
  <si>
    <t>05/01/2026</t>
  </si>
  <si>
    <t>29/12/2025</t>
  </si>
  <si>
    <t>22/12/2025</t>
  </si>
  <si>
    <t>23/12/2025</t>
  </si>
  <si>
    <t>16/12/2025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</si>
  <si>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</si>
  <si>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</si>
  <si>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</si>
  <si>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</si>
  <si>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</si>
  <si>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</si>
  <si>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</si>
  <si>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31/08/2025</t>
  </si>
  <si>
    <t>26/09/2025</t>
  </si>
  <si>
    <t>29/09/2025</t>
  </si>
  <si>
    <t>24/09/2025</t>
  </si>
  <si>
    <t>23/09/2025</t>
  </si>
  <si>
    <t>22/09/2025</t>
  </si>
  <si>
    <t>17/09/2025</t>
  </si>
  <si>
    <t>20/09/2025</t>
  </si>
  <si>
    <t>19/09/2025</t>
  </si>
  <si>
    <t>18/09/2025</t>
  </si>
  <si>
    <t>16/09/2025</t>
  </si>
  <si>
    <t>13/09/2025</t>
  </si>
  <si>
    <t>11/09/2025</t>
  </si>
  <si>
    <t>10/09/2025</t>
  </si>
  <si>
    <t>09/09/2025</t>
  </si>
  <si>
    <t>08/09/2025</t>
  </si>
  <si>
    <t>07/09/2025</t>
  </si>
  <si>
    <t>06/09/2025</t>
  </si>
  <si>
    <t>03/09/2025</t>
  </si>
  <si>
    <t>01/09/2025</t>
  </si>
  <si>
    <t>30/08/2025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</si>
  <si>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</si>
  <si>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</si>
  <si>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</si>
  <si>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</si>
  <si>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</si>
  <si>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</si>
  <si>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</si>
  <si>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</si>
  <si>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</si>
  <si>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16/08/2025</t>
  </si>
  <si>
    <t>14/08/2025</t>
  </si>
  <si>
    <t>13/08/2025</t>
  </si>
  <si>
    <t>11/08/2025</t>
  </si>
  <si>
    <t>10/08/2025</t>
  </si>
  <si>
    <t>08/08/2025</t>
  </si>
  <si>
    <t>07/08/2025</t>
  </si>
  <si>
    <t>06/08/2025</t>
  </si>
  <si>
    <t>12/08/2025</t>
  </si>
  <si>
    <t>05/08/2025</t>
  </si>
  <si>
    <t>03/08/2025</t>
  </si>
  <si>
    <t>02/08/2025</t>
  </si>
  <si>
    <t>30/07/2025</t>
  </si>
  <si>
    <t>28/07/2025</t>
  </si>
  <si>
    <t>25/07/2025</t>
  </si>
  <si>
    <t>24/07/2025</t>
  </si>
  <si>
    <t>21/07/2025</t>
  </si>
  <si>
    <t>18/07/2025</t>
  </si>
  <si>
    <t>19/07/2025</t>
  </si>
  <si>
    <t>17/07/2025</t>
  </si>
  <si>
    <t>05/07/2025</t>
  </si>
  <si>
    <t>26/06/2025</t>
  </si>
  <si>
    <t>23/06/2025</t>
  </si>
  <si>
    <t>22/06/2025</t>
  </si>
  <si>
    <t>21/06/2025</t>
  </si>
  <si>
    <t>20/06/2025</t>
  </si>
  <si>
    <t>11/06/2025</t>
  </si>
  <si>
    <t>10/06/2025</t>
  </si>
  <si>
    <t>08/06/2025</t>
  </si>
  <si>
    <t>29/05/2025</t>
  </si>
  <si>
    <t>26/05/2025</t>
  </si>
  <si>
    <t>24/05/2025</t>
  </si>
  <si>
    <t>21/05/2025</t>
  </si>
  <si>
    <t>20/05/2025</t>
  </si>
  <si>
    <t>09/05/2025</t>
  </si>
  <si>
    <t>TACIANA THEREZAN MESCA</t>
  </si>
  <si>
    <t>ALLAN MORETTI</t>
  </si>
  <si>
    <t>EDUARDO RODRIGUES LANCA 39180880819</t>
  </si>
  <si>
    <t>MICHELE APARECIDA DOS SANTOS</t>
  </si>
  <si>
    <t>Receita Federado do Brasil - DARF</t>
  </si>
  <si>
    <t>POSTO RESEDA DE RIBEIRAO PRETO LTDA</t>
  </si>
  <si>
    <t>FERNANDA CARREIRA MARINI</t>
  </si>
  <si>
    <t>CONVENIENCIA ANTONIO MARTINEZ IV LTDA</t>
  </si>
  <si>
    <t>Camila</t>
  </si>
  <si>
    <t>SUPERMERCADOS GRICKI LTDA.</t>
  </si>
  <si>
    <t>DAS - DOCUMENTO DE ARRECADACAO DO SIMPLES NACIONAL</t>
  </si>
  <si>
    <t>FATOR 47 COMUNICACAO VISUAL E DECORACOES LTDA</t>
  </si>
  <si>
    <t>KARINA APARECIDA BERZUINI FONOAUDIOLOGIA</t>
  </si>
  <si>
    <t>SAVEGNAGO-SUPERMERCADOS LTDA</t>
  </si>
  <si>
    <t>Facebook Servicos Online do Brasil Ltda.</t>
  </si>
  <si>
    <t>Zayd Stones - Pedras E Cristais</t>
  </si>
  <si>
    <t>Lv Desenvolvimento Humano Comportamental Disc Ltda</t>
  </si>
  <si>
    <t>ANTONIO CARLOS PINA</t>
  </si>
  <si>
    <t>MARIA APARECIDA RAMOS DA SILVA CARDOSO</t>
  </si>
  <si>
    <t>MADEJUMBO MERCANTIL LTDA</t>
  </si>
  <si>
    <t>Receita Federal</t>
  </si>
  <si>
    <t>MARCIA CRISTINA VAINI</t>
  </si>
  <si>
    <t>HIDINEIA HIPOLITO</t>
  </si>
  <si>
    <t>Hamilton Machado de Padua</t>
  </si>
  <si>
    <t>Cassio Livio Checchia Pedro</t>
  </si>
  <si>
    <t>Gabriela Venancio</t>
  </si>
  <si>
    <t>GRASSY TO GO LTDA</t>
  </si>
  <si>
    <t>Trib Aprox Eg Reais (fonte: Ibpt/61aaff)</t>
  </si>
  <si>
    <t>Adyen Latin America</t>
  </si>
  <si>
    <t>Assb</t>
  </si>
  <si>
    <t>NEW AUTO BOX LTDA</t>
  </si>
  <si>
    <t>MULTIDISPLAY COMERCIO E SERVICOS TECNOLOGICOS S.A.</t>
  </si>
  <si>
    <t>SUPERMERCADOS MIALICH LTDA</t>
  </si>
  <si>
    <t>Mariane</t>
  </si>
  <si>
    <t>KALUNGA SA</t>
  </si>
  <si>
    <t>NUCLEO DE INFORMACAO E COORDENACAO DO PONTO BR - NIC .BR</t>
  </si>
  <si>
    <t>ANDRADE E MURARI CAFETERIA LTDA</t>
  </si>
  <si>
    <t>ENDURANCE GROUP BRASIL HOSPEDAGEM DE SITES LTDA</t>
  </si>
  <si>
    <t>HAMILTON MACHADO DE PADUA</t>
  </si>
  <si>
    <t>Juliano</t>
  </si>
  <si>
    <t>NOTA RP LTDA</t>
  </si>
  <si>
    <t>PILONIDELSANT PANIFICACAO LTDA.</t>
  </si>
  <si>
    <t>DAYANE CRISTINA GOMIDE</t>
  </si>
  <si>
    <t>Alexandra</t>
  </si>
  <si>
    <t>MORIA COMERCIO DE TINTAS E MATERIAIS DE CONSTRUCAO LTDA</t>
  </si>
  <si>
    <t>S. V. COMERCIO DE PRESENTES LTDA</t>
  </si>
  <si>
    <t>Mec Toga</t>
  </si>
  <si>
    <t>REDE BRASIL RP SERVICOS ADMINISTRATIVOS EIRELI</t>
  </si>
  <si>
    <t>Angelica</t>
  </si>
  <si>
    <t>DUBAI COMERCIO DE BRINDES LTDA</t>
  </si>
  <si>
    <t>Marcela Maltezi</t>
  </si>
  <si>
    <t>Thiago</t>
  </si>
  <si>
    <t>Lamas</t>
  </si>
  <si>
    <t>ALINE ADUM DELAROLE</t>
  </si>
  <si>
    <t>Marcos Vinicius Pereira Santos Pedrosa</t>
  </si>
  <si>
    <t>Iguatemi Auto Service R2 Ltda</t>
  </si>
  <si>
    <t>IZABEL CRISTINA BUENO</t>
  </si>
  <si>
    <t>Mister Frutas</t>
  </si>
  <si>
    <t>Castelo Distribuidora de Embalagens Ltda - Epp</t>
  </si>
  <si>
    <t>CASTELO DISTRIBUIDORA DE EMBALAGENS LTDA</t>
  </si>
  <si>
    <t>Riberfoods Imp. Distr. Prod. Alim. Ltda</t>
  </si>
  <si>
    <t>59.970.176 WELINGTON NUNES CHIQUETO</t>
  </si>
  <si>
    <t>S. Eleuterio Filho Comercial Ltda</t>
  </si>
  <si>
    <t>ANDRE DA SILVA MOREIRA</t>
  </si>
  <si>
    <t>MERCADO PAGO INSTITUICAO DE PAGAMENTO LTDA</t>
  </si>
  <si>
    <t>LUIZ AUGUSTO ROQUE</t>
  </si>
  <si>
    <t>Leroy Merlin Cia Brasileira de Bricolage</t>
  </si>
  <si>
    <t>Leroy Merlin Companhia Brasileira de Bricolagem</t>
  </si>
  <si>
    <t>L. NAVES MELE</t>
  </si>
  <si>
    <t>Jefferson Ferreira de Moraes Gas - Me</t>
  </si>
  <si>
    <t>Centerlar Comercio de Utilidades Ltda</t>
  </si>
  <si>
    <t>SALDAO LIQUIDA MAX LTDA</t>
  </si>
  <si>
    <t>Carrefour Comercio E Industria Ltda</t>
  </si>
  <si>
    <t>MARIELA MARCIA DE OLIVEIRA NATAL</t>
  </si>
  <si>
    <t>Eletro Service Mecanica Industrial Ltda</t>
  </si>
  <si>
    <t>SUPER VAREJAO CENOURAO LTDA</t>
  </si>
  <si>
    <t>Construlider</t>
  </si>
  <si>
    <t>Eletrica Bichuete</t>
  </si>
  <si>
    <t>Koy Sonorização</t>
  </si>
  <si>
    <t>Simples Nacional</t>
  </si>
  <si>
    <t>LUZIA CRISTINA DE SOUZA</t>
  </si>
  <si>
    <t>Nome Completo: Taciana Thereza Mesca - 2/6</t>
  </si>
  <si>
    <t>Coffe</t>
  </si>
  <si>
    <t>Compra De Apostilas</t>
  </si>
  <si>
    <t>Apostila</t>
  </si>
  <si>
    <t>Oraculo Premium  - 2/12</t>
  </si>
  <si>
    <t>PIX EMITIDO OUTRA IF - PAGAMENTO PIX|00.394.460 00</t>
  </si>
  <si>
    <t>Apostila (130,00)</t>
  </si>
  <si>
    <t>Apostila Curso - Oraculo Premium</t>
  </si>
  <si>
    <t>Pagamento efetuado|ASSOCIACAO COMERCIAL E INDUSTRI</t>
  </si>
  <si>
    <t>PIX EMITIDO OUTRA IF - PAGAMENTO PIX|***.355.728-*</t>
  </si>
  <si>
    <t>Oraculo - Premium</t>
  </si>
  <si>
    <t>Garrafões de Agua</t>
  </si>
  <si>
    <t>Curso Oraculo Premium</t>
  </si>
  <si>
    <t>Coffe - Terça</t>
  </si>
  <si>
    <t>Confeccção de Apostilas</t>
  </si>
  <si>
    <t>Coffe - Quinta</t>
  </si>
  <si>
    <t>Nome Completo: Taciana Thereza Mesca - 1/6</t>
  </si>
  <si>
    <t>Oraculo Premium  - 1/12</t>
  </si>
  <si>
    <t>Competencia Dezembro_25</t>
  </si>
  <si>
    <t>Transferência enviada|Claro</t>
  </si>
  <si>
    <t>Juros Pagamento por atraso</t>
  </si>
  <si>
    <t>DAS</t>
  </si>
  <si>
    <t>Associação Comercial de Ribeirao Preto</t>
  </si>
  <si>
    <t>Impostos Meses Anteriores - Pgto Feito em Conta Pessoal</t>
  </si>
  <si>
    <t>Retirada Extra</t>
  </si>
  <si>
    <t>Coffe - Curso Spress</t>
  </si>
  <si>
    <t>Certificados Curso Spress</t>
  </si>
  <si>
    <t>Fonaudiologa</t>
  </si>
  <si>
    <t>PIX EMITIDO OUTRA IF - PAGAMENTO PIX|71.322.150 00</t>
  </si>
  <si>
    <t>Meta ads</t>
  </si>
  <si>
    <t>trafego pago</t>
  </si>
  <si>
    <t>Escapulario, base com iluminacao, pacote palo santo e torre em selenita - 3/4</t>
  </si>
  <si>
    <t>Bolo caseiro cenoura e suco pomaris 900 ml</t>
  </si>
  <si>
    <t>Pix transfer</t>
  </si>
  <si>
    <t>Curso - Disk</t>
  </si>
  <si>
    <t>Disk - Jonaids</t>
  </si>
  <si>
    <t>Disk - Joinaids</t>
  </si>
  <si>
    <t>Pagamento para receita federal</t>
  </si>
  <si>
    <t>CRED.TRANSF.CONTAS INTERCREDIS - REM.: MARCIA CRIS</t>
  </si>
  <si>
    <t>Compra de Água</t>
  </si>
  <si>
    <t>Compra de Espumante - Coffe Sabado</t>
  </si>
  <si>
    <t>Elementor pro - advanced solo</t>
  </si>
  <si>
    <t>Transferência Recebida</t>
  </si>
  <si>
    <t>Folhadao de costela e fanta guarana</t>
  </si>
  <si>
    <t>Espun aurora 750ml moscate</t>
  </si>
  <si>
    <t>Pix transaction</t>
  </si>
  <si>
    <t>Pagamento adiantado GAbi</t>
  </si>
  <si>
    <t>Transferência enviada|ORACULO DA VOZ TREINAMENTOS</t>
  </si>
  <si>
    <t>Almoço</t>
  </si>
  <si>
    <t>Certificados Curso - Joinads</t>
  </si>
  <si>
    <t>Chocolate Cacau Show - Finalização de Treinamento</t>
  </si>
  <si>
    <t>Estacioanemtno - Treinamento Jonaids</t>
  </si>
  <si>
    <t>Escapulario, base com iluminacao, pacote palo santo e torre em selenita - 2/4</t>
  </si>
  <si>
    <t>Telefone Cleu</t>
  </si>
  <si>
    <t>Coffe Sabado</t>
  </si>
  <si>
    <t>Transferência enviada|FACEBOOK SERVICOS ONLINE DO</t>
  </si>
  <si>
    <t>Coffe - Dabi</t>
  </si>
  <si>
    <t>Transferência enviada|GRASSY TO GO LTDA</t>
  </si>
  <si>
    <t>Material de ESCRITÓRIO</t>
  </si>
  <si>
    <t>Dominio Site Oraculo</t>
  </si>
  <si>
    <t>Founaudióloga</t>
  </si>
  <si>
    <t>Hospedagem site</t>
  </si>
  <si>
    <t>Agua - Sala</t>
  </si>
  <si>
    <t>Emissor de Nota</t>
  </si>
  <si>
    <t>Itens de uso</t>
  </si>
  <si>
    <t>Condominio - Agosto</t>
  </si>
  <si>
    <t>Coffee</t>
  </si>
  <si>
    <t>Curso - Premium</t>
  </si>
  <si>
    <t>Coffe - Curso Master</t>
  </si>
  <si>
    <t>Reforma Sala</t>
  </si>
  <si>
    <t>Deso glade dif 100ml, cafe pilao soluu 40g, l po pirac 400g int, bicarb kisabor 60g, guard minifl 21.5x20, ph pers u l16p15 30m.</t>
  </si>
  <si>
    <t>Escapulario, base com iluminacao, pacote palo santo e torre em selenita - 1/4</t>
  </si>
  <si>
    <t>Certificado Digital</t>
  </si>
  <si>
    <t>Brindes - Agendas</t>
  </si>
  <si>
    <t>Marketing</t>
  </si>
  <si>
    <t>Locacao de Utensilio - Inauguração</t>
  </si>
  <si>
    <t>Condominio - Julho</t>
  </si>
  <si>
    <t>Bolo de chocolate, bolo de fuba, pao de queijo pequeno kg</t>
  </si>
  <si>
    <t>Inauguração - Marketing</t>
  </si>
  <si>
    <t>Inauguração</t>
  </si>
  <si>
    <t>Gelo triturado 10kg</t>
  </si>
  <si>
    <t>Inauguração - Organização</t>
  </si>
  <si>
    <t>Compras de Frutas para Inauguração</t>
  </si>
  <si>
    <t>Various items including cups, napkins, plates, and a basket</t>
  </si>
  <si>
    <t>Supermarket purchase of various groceries and beverages</t>
  </si>
  <si>
    <t>Acucar cristal guarani sache 1000x5g</t>
  </si>
  <si>
    <t>Brindes - Inauguração</t>
  </si>
  <si>
    <t>Pintura da Sala</t>
  </si>
  <si>
    <t>Diversas Compras - Sala</t>
  </si>
  <si>
    <t>Compra Microfone</t>
  </si>
  <si>
    <t>Compra do Aparador</t>
  </si>
  <si>
    <t>Compra Cafeteira</t>
  </si>
  <si>
    <t>Paraf 4,2x55b fly 2-4 p</t>
  </si>
  <si>
    <t>Prat suspen dp 60x20 frpt industrial, espuma limpa tudo 400ml tekbond, canaleta pto sdivis 10x20x2000mm</t>
  </si>
  <si>
    <t>Armarios e Gaveteiro</t>
  </si>
  <si>
    <t>Impressora - Filtro de Agua</t>
  </si>
  <si>
    <t>Papel sulfite a4 b 1 un x 27,99 (4,21) 27,99</t>
  </si>
  <si>
    <t>Transferência Recebida|Mariela Marcia De Oliveira</t>
  </si>
  <si>
    <t>Aporte</t>
  </si>
  <si>
    <t>Pagamento do condominio e iptu do mes de Junho</t>
  </si>
  <si>
    <t>Telefone Celular Empresa</t>
  </si>
  <si>
    <t>Despesa Pessoal</t>
  </si>
  <si>
    <t>Materiais para reforma da sala</t>
  </si>
  <si>
    <t>Manutenção da Sala</t>
  </si>
  <si>
    <t>Interruptor simples sleek - m, placa 4 x 2 3 mod sleek - mar, modulo c/ furo 2 pcs sleek -, paralelo 1,5 cordao paralelo 2 x 1,50mm -</t>
  </si>
  <si>
    <t>materiais eletricos</t>
  </si>
  <si>
    <t>Amplificadores compactos, cabo polarizado - cabo de som polarizado 2x2,5, dr500 - arandelas dr500 branca</t>
  </si>
  <si>
    <t>02 aguas 20 litros (completa)</t>
  </si>
  <si>
    <t>Transferência enviada|LUZIA CRISTINA DE SOUZA</t>
  </si>
  <si>
    <t>Impostos sobre receita</t>
  </si>
  <si>
    <t>Descontos Concedidos</t>
  </si>
  <si>
    <t>Receita com serviços</t>
  </si>
  <si>
    <t>Compra de ativo fixo</t>
  </si>
  <si>
    <t>Aporte de capital</t>
  </si>
  <si>
    <t>28/02/2026</t>
  </si>
  <si>
    <t>22/02/2026</t>
  </si>
  <si>
    <t>20/02/2026</t>
  </si>
  <si>
    <t>28/01/2026</t>
  </si>
  <si>
    <t>27/01/2026</t>
  </si>
  <si>
    <t>20/01/2026</t>
  </si>
  <si>
    <t>19/01/2026</t>
  </si>
  <si>
    <t>13/01/2026</t>
  </si>
  <si>
    <t>09/01/2026</t>
  </si>
  <si>
    <t>20/12/2025</t>
  </si>
  <si>
    <t>19/12/2025</t>
  </si>
  <si>
    <t>30/11/2025</t>
  </si>
  <si>
    <t>02/09/2025</t>
  </si>
  <si>
    <t>20/07/2025</t>
  </si>
  <si>
    <t>22/05/2025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</si>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</sst>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0"/>
      <color rgb="FF000000"/>
      <name val="Arial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A4CE"/>
        <bgColor rgb="FF23A4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44" fontId="1" fillId="2" borderId="0" xfId="1" applyFont="1" applyFill="1"/>
    <xf numFmtId="44" fontId="0" fillId="0" borderId="0" xfId="1" applyFont="1"/>
    <xf numFmtId="0" fontId="2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95"/>
  <sheetViews>
    <sheetView tabSelected="1" topLeftCell="F1" workbookViewId="0">
      <selection activeCell="J296" sqref="J296"/>
    </sheetView>
  </sheetViews>
  <sheetFormatPr defaultRowHeight="13.2" x14ac:dyDescent="0.25"/>
  <cols>
    <col min="1" max="1" width="12.33203125" bestFit="1" customWidth="1"/>
    <col min="2" max="2" width="27.44140625" bestFit="1" customWidth="1"/>
    <col min="3" max="3" width="27.44140625" customWidth="1"/>
    <col min="4" max="4" width="13.44140625" customWidth="1"/>
    <col min="5" max="5" width="15" customWidth="1"/>
    <col min="6" max="6" width="30.21875" customWidth="1"/>
    <col min="7" max="7" width="36.6640625" customWidth="1"/>
    <col min="8" max="8" width="22.6640625" customWidth="1"/>
    <col min="9" max="9" width="21.33203125" bestFit="1" customWidth="1"/>
    <col min="10" max="11" width="8.6640625" bestFit="1" customWidth="1"/>
    <col min="12" max="12" width="19.6640625" style="3" bestFit="1" customWidth="1"/>
    <col min="13" max="13" width="16.6640625" bestFit="1" customWidth="1"/>
    <col min="14" max="14" width="14.88671875" bestFit="1" customWidth="1"/>
    <col min="15" max="15" width="12.6640625" bestFit="1" customWidth="1"/>
    <col min="16" max="16" width="16" bestFit="1" customWidth="1"/>
  </cols>
  <sheetData>
    <row r="1" spans="1:16" x14ac:dyDescent="0.25">
      <c r="A1" s="1" t="s">
        <v>0</v>
      </c>
      <c r="B1" s="1" t="s">
        <v>1</v>
      </c>
      <c r="C1" s="1" t="s">
        <v>500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idden="1" x14ac:dyDescent="0.25">
      <c r="B2" t="s">
        <v>192</v>
      </c>
      <c r="C2">
        <f>MONTH(B2)</f>
        <v>2</v>
      </c>
      <c r="D2" t="s">
        <v>485</v>
      </c>
      <c r="E2" t="s">
        <v>485</v>
      </c>
      <c r="F2" t="s">
        <v>290</v>
      </c>
      <c r="G2" t="s">
        <v>371</v>
      </c>
      <c r="H2" t="s">
        <v>44</v>
      </c>
      <c r="I2" t="s">
        <v>25</v>
      </c>
      <c r="J2" t="s">
        <v>26</v>
      </c>
      <c r="K2">
        <v>0</v>
      </c>
      <c r="L2" s="3">
        <v>500</v>
      </c>
    </row>
    <row r="3" spans="1:16" hidden="1" x14ac:dyDescent="0.25">
      <c r="B3" t="s">
        <v>193</v>
      </c>
      <c r="C3">
        <f t="shared" ref="C3:C62" si="0">MONTH(B3)</f>
        <v>2</v>
      </c>
      <c r="D3" t="s">
        <v>193</v>
      </c>
      <c r="E3" t="s">
        <v>193</v>
      </c>
      <c r="F3" t="s">
        <v>45</v>
      </c>
      <c r="G3" t="s">
        <v>372</v>
      </c>
      <c r="H3" t="s">
        <v>19</v>
      </c>
      <c r="I3" t="s">
        <v>25</v>
      </c>
      <c r="J3" t="s">
        <v>21</v>
      </c>
      <c r="K3">
        <v>0</v>
      </c>
      <c r="L3" s="3">
        <v>-47.39</v>
      </c>
    </row>
    <row r="4" spans="1:16" hidden="1" x14ac:dyDescent="0.25">
      <c r="B4" t="s">
        <v>194</v>
      </c>
      <c r="C4">
        <f t="shared" si="0"/>
        <v>2</v>
      </c>
      <c r="D4" t="s">
        <v>194</v>
      </c>
      <c r="E4" t="s">
        <v>194</v>
      </c>
      <c r="F4" t="s">
        <v>291</v>
      </c>
      <c r="G4" t="s">
        <v>372</v>
      </c>
      <c r="H4" t="s">
        <v>19</v>
      </c>
      <c r="I4" t="s">
        <v>25</v>
      </c>
      <c r="J4" t="s">
        <v>21</v>
      </c>
      <c r="K4">
        <v>0</v>
      </c>
      <c r="L4" s="3">
        <v>-12</v>
      </c>
    </row>
    <row r="5" spans="1:16" hidden="1" x14ac:dyDescent="0.25">
      <c r="B5" t="s">
        <v>194</v>
      </c>
      <c r="C5">
        <f t="shared" si="0"/>
        <v>2</v>
      </c>
      <c r="D5" t="s">
        <v>194</v>
      </c>
      <c r="E5" t="s">
        <v>194</v>
      </c>
      <c r="F5" t="s">
        <v>292</v>
      </c>
      <c r="G5" t="s">
        <v>373</v>
      </c>
      <c r="H5" t="s">
        <v>29</v>
      </c>
      <c r="I5" t="s">
        <v>25</v>
      </c>
      <c r="J5" t="s">
        <v>21</v>
      </c>
      <c r="K5">
        <v>0</v>
      </c>
      <c r="L5" s="3">
        <v>-630</v>
      </c>
    </row>
    <row r="6" spans="1:16" hidden="1" x14ac:dyDescent="0.25">
      <c r="B6" t="s">
        <v>195</v>
      </c>
      <c r="C6">
        <f t="shared" si="0"/>
        <v>2</v>
      </c>
      <c r="D6" t="s">
        <v>195</v>
      </c>
      <c r="E6" t="s">
        <v>195</v>
      </c>
      <c r="F6" t="s">
        <v>189</v>
      </c>
      <c r="G6" t="s">
        <v>374</v>
      </c>
      <c r="H6" t="s">
        <v>44</v>
      </c>
      <c r="I6" t="s">
        <v>25</v>
      </c>
      <c r="J6" t="s">
        <v>26</v>
      </c>
      <c r="K6">
        <v>0</v>
      </c>
      <c r="L6" s="3">
        <v>130</v>
      </c>
    </row>
    <row r="7" spans="1:16" hidden="1" x14ac:dyDescent="0.25">
      <c r="B7" t="s">
        <v>195</v>
      </c>
      <c r="C7">
        <f t="shared" si="0"/>
        <v>2</v>
      </c>
      <c r="D7" t="s">
        <v>486</v>
      </c>
      <c r="E7" t="s">
        <v>486</v>
      </c>
      <c r="F7" t="s">
        <v>293</v>
      </c>
      <c r="G7" t="s">
        <v>375</v>
      </c>
      <c r="H7" t="s">
        <v>44</v>
      </c>
      <c r="I7" t="s">
        <v>25</v>
      </c>
      <c r="J7" t="s">
        <v>26</v>
      </c>
      <c r="K7">
        <v>0</v>
      </c>
      <c r="L7" s="3">
        <v>249.75</v>
      </c>
    </row>
    <row r="8" spans="1:16" hidden="1" x14ac:dyDescent="0.25">
      <c r="B8" t="s">
        <v>196</v>
      </c>
      <c r="C8">
        <f t="shared" si="0"/>
        <v>2</v>
      </c>
      <c r="D8" t="s">
        <v>196</v>
      </c>
      <c r="E8" t="s">
        <v>196</v>
      </c>
      <c r="F8" t="s">
        <v>45</v>
      </c>
      <c r="G8" t="s">
        <v>372</v>
      </c>
      <c r="H8" t="s">
        <v>19</v>
      </c>
      <c r="I8" t="s">
        <v>20</v>
      </c>
      <c r="J8" t="s">
        <v>21</v>
      </c>
      <c r="K8">
        <v>0</v>
      </c>
      <c r="L8" s="3">
        <v>-29.9</v>
      </c>
    </row>
    <row r="9" spans="1:16" hidden="1" x14ac:dyDescent="0.25">
      <c r="B9" t="s">
        <v>197</v>
      </c>
      <c r="C9">
        <f t="shared" si="0"/>
        <v>2</v>
      </c>
      <c r="D9" t="s">
        <v>487</v>
      </c>
      <c r="E9" t="s">
        <v>487</v>
      </c>
      <c r="F9" t="s">
        <v>127</v>
      </c>
      <c r="G9" t="s">
        <v>128</v>
      </c>
      <c r="H9" t="s">
        <v>79</v>
      </c>
      <c r="I9" t="s">
        <v>25</v>
      </c>
      <c r="J9" t="s">
        <v>21</v>
      </c>
      <c r="K9">
        <v>0</v>
      </c>
      <c r="L9" s="3">
        <v>-1500</v>
      </c>
    </row>
    <row r="10" spans="1:16" hidden="1" x14ac:dyDescent="0.25">
      <c r="B10" t="s">
        <v>197</v>
      </c>
      <c r="C10">
        <f t="shared" si="0"/>
        <v>2</v>
      </c>
      <c r="D10" t="s">
        <v>487</v>
      </c>
      <c r="E10" t="s">
        <v>487</v>
      </c>
      <c r="F10" t="s">
        <v>129</v>
      </c>
      <c r="G10" t="s">
        <v>130</v>
      </c>
      <c r="H10" t="s">
        <v>79</v>
      </c>
      <c r="I10" t="s">
        <v>25</v>
      </c>
      <c r="J10" t="s">
        <v>21</v>
      </c>
      <c r="K10">
        <v>0</v>
      </c>
      <c r="L10" s="3">
        <v>-550</v>
      </c>
    </row>
    <row r="11" spans="1:16" hidden="1" x14ac:dyDescent="0.25">
      <c r="B11" t="s">
        <v>197</v>
      </c>
      <c r="C11">
        <f t="shared" si="0"/>
        <v>2</v>
      </c>
      <c r="D11" t="s">
        <v>197</v>
      </c>
      <c r="E11" t="s">
        <v>197</v>
      </c>
      <c r="F11" t="s">
        <v>294</v>
      </c>
      <c r="G11" t="s">
        <v>376</v>
      </c>
      <c r="H11" t="s">
        <v>480</v>
      </c>
      <c r="I11" t="s">
        <v>25</v>
      </c>
      <c r="J11" t="s">
        <v>21</v>
      </c>
      <c r="K11">
        <v>0</v>
      </c>
      <c r="L11" s="3">
        <v>-178.31</v>
      </c>
    </row>
    <row r="12" spans="1:16" hidden="1" x14ac:dyDescent="0.25">
      <c r="B12" t="s">
        <v>197</v>
      </c>
      <c r="C12">
        <f t="shared" si="0"/>
        <v>2</v>
      </c>
      <c r="D12" t="s">
        <v>197</v>
      </c>
      <c r="E12" t="s">
        <v>197</v>
      </c>
      <c r="F12" t="s">
        <v>131</v>
      </c>
      <c r="G12" t="s">
        <v>128</v>
      </c>
      <c r="H12" t="s">
        <v>79</v>
      </c>
      <c r="I12" t="s">
        <v>25</v>
      </c>
      <c r="J12" t="s">
        <v>21</v>
      </c>
      <c r="K12">
        <v>0</v>
      </c>
      <c r="L12" s="3">
        <v>-1500</v>
      </c>
    </row>
    <row r="13" spans="1:16" hidden="1" x14ac:dyDescent="0.25">
      <c r="B13" t="s">
        <v>197</v>
      </c>
      <c r="C13">
        <f t="shared" si="0"/>
        <v>2</v>
      </c>
      <c r="D13" t="s">
        <v>197</v>
      </c>
      <c r="E13" t="s">
        <v>197</v>
      </c>
      <c r="F13" t="s">
        <v>144</v>
      </c>
      <c r="G13" t="s">
        <v>372</v>
      </c>
      <c r="H13" t="s">
        <v>19</v>
      </c>
      <c r="I13" t="s">
        <v>25</v>
      </c>
      <c r="J13" t="s">
        <v>21</v>
      </c>
      <c r="K13">
        <v>0</v>
      </c>
      <c r="L13" s="3">
        <v>-12</v>
      </c>
    </row>
    <row r="14" spans="1:16" hidden="1" x14ac:dyDescent="0.25">
      <c r="B14" t="s">
        <v>198</v>
      </c>
      <c r="C14">
        <f t="shared" si="0"/>
        <v>2</v>
      </c>
      <c r="D14" t="s">
        <v>198</v>
      </c>
      <c r="E14" t="s">
        <v>198</v>
      </c>
      <c r="F14" t="s">
        <v>59</v>
      </c>
      <c r="G14" t="s">
        <v>377</v>
      </c>
      <c r="H14" t="s">
        <v>44</v>
      </c>
      <c r="I14" t="s">
        <v>25</v>
      </c>
      <c r="J14" t="s">
        <v>26</v>
      </c>
      <c r="K14">
        <v>0</v>
      </c>
      <c r="L14" s="3">
        <v>126.07</v>
      </c>
    </row>
    <row r="15" spans="1:16" hidden="1" x14ac:dyDescent="0.25">
      <c r="B15" t="s">
        <v>199</v>
      </c>
      <c r="C15">
        <f t="shared" si="0"/>
        <v>2</v>
      </c>
      <c r="D15" t="s">
        <v>199</v>
      </c>
      <c r="E15" t="s">
        <v>199</v>
      </c>
      <c r="F15" t="s">
        <v>294</v>
      </c>
      <c r="G15" t="s">
        <v>376</v>
      </c>
      <c r="H15" t="s">
        <v>480</v>
      </c>
      <c r="I15" t="s">
        <v>25</v>
      </c>
      <c r="J15" t="s">
        <v>21</v>
      </c>
      <c r="K15">
        <v>0</v>
      </c>
      <c r="L15" s="3">
        <v>-378.89</v>
      </c>
    </row>
    <row r="16" spans="1:16" hidden="1" x14ac:dyDescent="0.25">
      <c r="B16" t="s">
        <v>199</v>
      </c>
      <c r="C16">
        <f t="shared" si="0"/>
        <v>2</v>
      </c>
      <c r="D16" t="s">
        <v>199</v>
      </c>
      <c r="E16" t="s">
        <v>199</v>
      </c>
      <c r="F16" t="s">
        <v>295</v>
      </c>
      <c r="G16" t="s">
        <v>372</v>
      </c>
      <c r="H16" t="s">
        <v>19</v>
      </c>
      <c r="I16" t="s">
        <v>25</v>
      </c>
      <c r="J16" t="s">
        <v>21</v>
      </c>
      <c r="K16">
        <v>0</v>
      </c>
      <c r="L16" s="3">
        <v>-20.43</v>
      </c>
    </row>
    <row r="17" spans="2:12" hidden="1" x14ac:dyDescent="0.25">
      <c r="B17" t="s">
        <v>199</v>
      </c>
      <c r="C17">
        <f t="shared" si="0"/>
        <v>2</v>
      </c>
      <c r="D17" t="s">
        <v>199</v>
      </c>
      <c r="E17" t="s">
        <v>199</v>
      </c>
      <c r="F17" t="s">
        <v>36</v>
      </c>
      <c r="G17" t="s">
        <v>61</v>
      </c>
      <c r="H17" t="s">
        <v>62</v>
      </c>
      <c r="I17" t="s">
        <v>25</v>
      </c>
      <c r="J17" t="s">
        <v>21</v>
      </c>
      <c r="K17">
        <v>0</v>
      </c>
      <c r="L17" s="3">
        <v>-40</v>
      </c>
    </row>
    <row r="18" spans="2:12" hidden="1" x14ac:dyDescent="0.25">
      <c r="B18" t="s">
        <v>199</v>
      </c>
      <c r="C18">
        <f t="shared" si="0"/>
        <v>2</v>
      </c>
      <c r="D18" t="s">
        <v>199</v>
      </c>
      <c r="E18" t="s">
        <v>199</v>
      </c>
      <c r="F18" t="s">
        <v>42</v>
      </c>
      <c r="G18" t="s">
        <v>378</v>
      </c>
      <c r="H18" t="s">
        <v>44</v>
      </c>
      <c r="I18" t="s">
        <v>25</v>
      </c>
      <c r="J18" t="s">
        <v>26</v>
      </c>
      <c r="K18">
        <v>0</v>
      </c>
      <c r="L18" s="3">
        <v>130</v>
      </c>
    </row>
    <row r="19" spans="2:12" hidden="1" x14ac:dyDescent="0.25">
      <c r="B19" t="s">
        <v>200</v>
      </c>
      <c r="C19">
        <f t="shared" si="0"/>
        <v>2</v>
      </c>
      <c r="D19" t="s">
        <v>200</v>
      </c>
      <c r="E19" t="s">
        <v>200</v>
      </c>
      <c r="F19" t="s">
        <v>68</v>
      </c>
      <c r="G19" t="s">
        <v>69</v>
      </c>
      <c r="H19" t="s">
        <v>47</v>
      </c>
      <c r="I19" t="s">
        <v>25</v>
      </c>
      <c r="J19" t="s">
        <v>21</v>
      </c>
      <c r="K19">
        <v>0</v>
      </c>
      <c r="L19" s="3">
        <v>-350</v>
      </c>
    </row>
    <row r="20" spans="2:12" hidden="1" x14ac:dyDescent="0.25">
      <c r="B20" t="s">
        <v>200</v>
      </c>
      <c r="C20">
        <f t="shared" si="0"/>
        <v>2</v>
      </c>
      <c r="D20" t="s">
        <v>200</v>
      </c>
      <c r="E20" t="s">
        <v>200</v>
      </c>
      <c r="F20" t="s">
        <v>173</v>
      </c>
      <c r="G20" t="s">
        <v>379</v>
      </c>
      <c r="H20" t="s">
        <v>47</v>
      </c>
      <c r="I20" t="s">
        <v>20</v>
      </c>
      <c r="J20" t="s">
        <v>21</v>
      </c>
      <c r="K20">
        <v>0</v>
      </c>
      <c r="L20" s="3">
        <v>-30.55</v>
      </c>
    </row>
    <row r="21" spans="2:12" hidden="1" x14ac:dyDescent="0.25">
      <c r="B21" t="s">
        <v>200</v>
      </c>
      <c r="C21">
        <f t="shared" si="0"/>
        <v>2</v>
      </c>
      <c r="D21" t="s">
        <v>200</v>
      </c>
      <c r="E21" t="s">
        <v>200</v>
      </c>
      <c r="F21" t="s">
        <v>48</v>
      </c>
      <c r="G21" t="s">
        <v>380</v>
      </c>
      <c r="H21" t="s">
        <v>57</v>
      </c>
      <c r="I21" t="s">
        <v>25</v>
      </c>
      <c r="J21" t="s">
        <v>21</v>
      </c>
      <c r="K21">
        <v>0</v>
      </c>
      <c r="L21" s="3">
        <v>-6000</v>
      </c>
    </row>
    <row r="22" spans="2:12" hidden="1" x14ac:dyDescent="0.25">
      <c r="B22" t="s">
        <v>200</v>
      </c>
      <c r="C22">
        <f t="shared" si="0"/>
        <v>2</v>
      </c>
      <c r="D22" t="s">
        <v>200</v>
      </c>
      <c r="E22" t="s">
        <v>200</v>
      </c>
      <c r="F22" t="s">
        <v>173</v>
      </c>
      <c r="G22" t="s">
        <v>379</v>
      </c>
      <c r="H22" t="s">
        <v>47</v>
      </c>
      <c r="I22" t="s">
        <v>20</v>
      </c>
      <c r="J22" t="s">
        <v>21</v>
      </c>
      <c r="K22">
        <v>0</v>
      </c>
      <c r="L22" s="3">
        <v>-29.72</v>
      </c>
    </row>
    <row r="23" spans="2:12" hidden="1" x14ac:dyDescent="0.25">
      <c r="B23" t="s">
        <v>201</v>
      </c>
      <c r="C23">
        <f t="shared" si="0"/>
        <v>2</v>
      </c>
      <c r="D23" t="s">
        <v>201</v>
      </c>
      <c r="E23" t="s">
        <v>201</v>
      </c>
      <c r="F23" t="s">
        <v>296</v>
      </c>
      <c r="G23" t="s">
        <v>381</v>
      </c>
      <c r="H23" t="s">
        <v>44</v>
      </c>
      <c r="I23" t="s">
        <v>25</v>
      </c>
      <c r="J23" t="s">
        <v>26</v>
      </c>
      <c r="K23">
        <v>0</v>
      </c>
      <c r="L23" s="3">
        <v>3227</v>
      </c>
    </row>
    <row r="24" spans="2:12" hidden="1" x14ac:dyDescent="0.25">
      <c r="B24" t="s">
        <v>202</v>
      </c>
      <c r="C24">
        <f t="shared" si="0"/>
        <v>2</v>
      </c>
      <c r="D24" t="s">
        <v>202</v>
      </c>
      <c r="E24" t="s">
        <v>202</v>
      </c>
      <c r="F24" t="s">
        <v>71</v>
      </c>
      <c r="G24" t="s">
        <v>372</v>
      </c>
      <c r="H24" t="s">
        <v>19</v>
      </c>
      <c r="I24" t="s">
        <v>25</v>
      </c>
      <c r="J24" t="s">
        <v>21</v>
      </c>
      <c r="K24">
        <v>0</v>
      </c>
      <c r="L24" s="3">
        <v>-11.69</v>
      </c>
    </row>
    <row r="25" spans="2:12" hidden="1" x14ac:dyDescent="0.25">
      <c r="B25" t="s">
        <v>202</v>
      </c>
      <c r="C25">
        <f t="shared" si="0"/>
        <v>2</v>
      </c>
      <c r="D25" t="s">
        <v>202</v>
      </c>
      <c r="E25" t="s">
        <v>202</v>
      </c>
      <c r="F25" t="s">
        <v>36</v>
      </c>
      <c r="G25" t="s">
        <v>37</v>
      </c>
      <c r="H25" t="s">
        <v>38</v>
      </c>
      <c r="I25" t="s">
        <v>25</v>
      </c>
      <c r="J25" t="s">
        <v>21</v>
      </c>
      <c r="K25">
        <v>0</v>
      </c>
      <c r="L25" s="3">
        <v>-19.899999999999999</v>
      </c>
    </row>
    <row r="26" spans="2:12" hidden="1" x14ac:dyDescent="0.25">
      <c r="B26" t="s">
        <v>203</v>
      </c>
      <c r="C26">
        <f t="shared" si="0"/>
        <v>2</v>
      </c>
      <c r="D26" t="s">
        <v>203</v>
      </c>
      <c r="E26" t="s">
        <v>203</v>
      </c>
      <c r="F26" t="s">
        <v>107</v>
      </c>
      <c r="G26" t="s">
        <v>162</v>
      </c>
      <c r="H26" t="s">
        <v>19</v>
      </c>
      <c r="I26" t="s">
        <v>25</v>
      </c>
      <c r="J26" t="s">
        <v>21</v>
      </c>
      <c r="K26">
        <v>0</v>
      </c>
      <c r="L26" s="3">
        <v>-63.9</v>
      </c>
    </row>
    <row r="27" spans="2:12" hidden="1" x14ac:dyDescent="0.25">
      <c r="B27" t="s">
        <v>203</v>
      </c>
      <c r="C27">
        <f t="shared" si="0"/>
        <v>2</v>
      </c>
      <c r="D27" t="s">
        <v>203</v>
      </c>
      <c r="E27" t="s">
        <v>203</v>
      </c>
      <c r="F27" t="s">
        <v>45</v>
      </c>
      <c r="G27" t="s">
        <v>382</v>
      </c>
      <c r="H27" t="s">
        <v>19</v>
      </c>
      <c r="I27" t="s">
        <v>25</v>
      </c>
      <c r="J27" t="s">
        <v>21</v>
      </c>
      <c r="K27">
        <v>0</v>
      </c>
      <c r="L27" s="3">
        <v>-22</v>
      </c>
    </row>
    <row r="28" spans="2:12" hidden="1" x14ac:dyDescent="0.25">
      <c r="B28" t="s">
        <v>192</v>
      </c>
      <c r="C28">
        <f t="shared" si="0"/>
        <v>2</v>
      </c>
      <c r="D28" t="s">
        <v>192</v>
      </c>
      <c r="E28" t="s">
        <v>192</v>
      </c>
      <c r="F28" t="s">
        <v>290</v>
      </c>
      <c r="G28" t="s">
        <v>383</v>
      </c>
      <c r="H28" t="s">
        <v>44</v>
      </c>
      <c r="I28" t="s">
        <v>25</v>
      </c>
      <c r="J28" t="s">
        <v>26</v>
      </c>
      <c r="K28">
        <v>0</v>
      </c>
      <c r="L28" s="3">
        <v>100</v>
      </c>
    </row>
    <row r="29" spans="2:12" hidden="1" x14ac:dyDescent="0.25">
      <c r="B29" t="s">
        <v>192</v>
      </c>
      <c r="C29">
        <f t="shared" si="0"/>
        <v>2</v>
      </c>
      <c r="D29" t="s">
        <v>192</v>
      </c>
      <c r="E29" t="s">
        <v>192</v>
      </c>
      <c r="F29" t="s">
        <v>297</v>
      </c>
      <c r="G29" t="s">
        <v>384</v>
      </c>
      <c r="H29" t="s">
        <v>19</v>
      </c>
      <c r="I29" t="s">
        <v>25</v>
      </c>
      <c r="J29" t="s">
        <v>21</v>
      </c>
      <c r="K29">
        <v>0</v>
      </c>
      <c r="L29" s="3">
        <v>-27.75</v>
      </c>
    </row>
    <row r="30" spans="2:12" hidden="1" x14ac:dyDescent="0.25">
      <c r="B30" t="s">
        <v>204</v>
      </c>
      <c r="C30">
        <f t="shared" si="0"/>
        <v>1</v>
      </c>
      <c r="D30" t="s">
        <v>204</v>
      </c>
      <c r="E30" t="s">
        <v>204</v>
      </c>
      <c r="F30" t="s">
        <v>298</v>
      </c>
      <c r="G30" t="s">
        <v>383</v>
      </c>
      <c r="H30" t="s">
        <v>44</v>
      </c>
      <c r="I30" t="s">
        <v>25</v>
      </c>
      <c r="J30" t="s">
        <v>26</v>
      </c>
      <c r="K30">
        <v>0</v>
      </c>
      <c r="L30" s="3">
        <v>3077</v>
      </c>
    </row>
    <row r="31" spans="2:12" hidden="1" x14ac:dyDescent="0.25">
      <c r="B31" t="s">
        <v>205</v>
      </c>
      <c r="C31">
        <f t="shared" si="0"/>
        <v>1</v>
      </c>
      <c r="D31" t="s">
        <v>205</v>
      </c>
      <c r="E31" t="s">
        <v>205</v>
      </c>
      <c r="F31" t="s">
        <v>292</v>
      </c>
      <c r="G31" t="s">
        <v>385</v>
      </c>
      <c r="H31" t="s">
        <v>29</v>
      </c>
      <c r="I31" t="s">
        <v>25</v>
      </c>
      <c r="J31" t="s">
        <v>21</v>
      </c>
      <c r="K31">
        <v>0</v>
      </c>
      <c r="L31" s="3">
        <v>-351</v>
      </c>
    </row>
    <row r="32" spans="2:12" hidden="1" x14ac:dyDescent="0.25">
      <c r="B32" t="s">
        <v>205</v>
      </c>
      <c r="C32">
        <f t="shared" si="0"/>
        <v>1</v>
      </c>
      <c r="D32" t="s">
        <v>205</v>
      </c>
      <c r="E32" t="s">
        <v>205</v>
      </c>
      <c r="F32" t="s">
        <v>299</v>
      </c>
      <c r="G32" t="s">
        <v>386</v>
      </c>
      <c r="H32" t="s">
        <v>19</v>
      </c>
      <c r="I32" t="s">
        <v>25</v>
      </c>
      <c r="J32" t="s">
        <v>21</v>
      </c>
      <c r="K32">
        <v>0</v>
      </c>
      <c r="L32" s="3">
        <v>-62.52</v>
      </c>
    </row>
    <row r="33" spans="2:12" hidden="1" x14ac:dyDescent="0.25">
      <c r="B33" t="s">
        <v>206</v>
      </c>
      <c r="C33">
        <f t="shared" si="0"/>
        <v>12</v>
      </c>
      <c r="D33" t="s">
        <v>488</v>
      </c>
      <c r="E33" t="s">
        <v>488</v>
      </c>
      <c r="F33" t="s">
        <v>290</v>
      </c>
      <c r="G33" t="s">
        <v>387</v>
      </c>
      <c r="H33" t="s">
        <v>44</v>
      </c>
      <c r="I33" t="s">
        <v>25</v>
      </c>
      <c r="J33" t="s">
        <v>26</v>
      </c>
      <c r="K33">
        <v>1</v>
      </c>
      <c r="L33" s="3">
        <v>600</v>
      </c>
    </row>
    <row r="34" spans="2:12" hidden="1" x14ac:dyDescent="0.25">
      <c r="B34" t="s">
        <v>207</v>
      </c>
      <c r="C34">
        <f t="shared" si="0"/>
        <v>1</v>
      </c>
      <c r="D34" t="s">
        <v>207</v>
      </c>
      <c r="E34" t="s">
        <v>489</v>
      </c>
      <c r="F34" t="s">
        <v>293</v>
      </c>
      <c r="G34" t="s">
        <v>388</v>
      </c>
      <c r="H34" t="s">
        <v>44</v>
      </c>
      <c r="I34" t="s">
        <v>25</v>
      </c>
      <c r="J34" t="s">
        <v>26</v>
      </c>
      <c r="K34">
        <v>0</v>
      </c>
      <c r="L34" s="3">
        <v>249.75</v>
      </c>
    </row>
    <row r="35" spans="2:12" hidden="1" x14ac:dyDescent="0.25">
      <c r="B35" t="s">
        <v>207</v>
      </c>
      <c r="C35">
        <f t="shared" si="0"/>
        <v>1</v>
      </c>
      <c r="D35" t="s">
        <v>207</v>
      </c>
      <c r="E35" t="s">
        <v>207</v>
      </c>
      <c r="F35" t="s">
        <v>293</v>
      </c>
      <c r="G35" t="s">
        <v>374</v>
      </c>
      <c r="H35" t="s">
        <v>44</v>
      </c>
      <c r="I35" t="s">
        <v>25</v>
      </c>
      <c r="J35" t="s">
        <v>26</v>
      </c>
      <c r="K35">
        <v>0</v>
      </c>
      <c r="L35" s="3">
        <v>230</v>
      </c>
    </row>
    <row r="36" spans="2:12" hidden="1" x14ac:dyDescent="0.25">
      <c r="B36" t="s">
        <v>208</v>
      </c>
      <c r="C36">
        <f t="shared" si="0"/>
        <v>1</v>
      </c>
      <c r="D36" t="s">
        <v>208</v>
      </c>
      <c r="E36" t="s">
        <v>208</v>
      </c>
      <c r="F36" t="s">
        <v>300</v>
      </c>
      <c r="G36" t="s">
        <v>389</v>
      </c>
      <c r="H36" t="s">
        <v>480</v>
      </c>
      <c r="I36" t="s">
        <v>20</v>
      </c>
      <c r="J36" t="s">
        <v>21</v>
      </c>
      <c r="K36">
        <v>1</v>
      </c>
      <c r="L36" s="3">
        <v>-756</v>
      </c>
    </row>
    <row r="37" spans="2:12" hidden="1" x14ac:dyDescent="0.25">
      <c r="B37" t="s">
        <v>208</v>
      </c>
      <c r="C37">
        <f t="shared" si="0"/>
        <v>1</v>
      </c>
      <c r="D37" t="s">
        <v>208</v>
      </c>
      <c r="E37" t="s">
        <v>208</v>
      </c>
      <c r="F37" t="s">
        <v>182</v>
      </c>
      <c r="G37" t="s">
        <v>390</v>
      </c>
      <c r="H37" t="s">
        <v>183</v>
      </c>
      <c r="I37" t="s">
        <v>20</v>
      </c>
      <c r="J37" t="s">
        <v>21</v>
      </c>
      <c r="K37">
        <v>0</v>
      </c>
      <c r="L37" s="3">
        <v>-30.58</v>
      </c>
    </row>
    <row r="38" spans="2:12" hidden="1" x14ac:dyDescent="0.25">
      <c r="B38" t="s">
        <v>208</v>
      </c>
      <c r="C38">
        <f t="shared" si="0"/>
        <v>1</v>
      </c>
      <c r="D38" t="s">
        <v>490</v>
      </c>
      <c r="E38" t="s">
        <v>490</v>
      </c>
      <c r="F38" t="s">
        <v>129</v>
      </c>
      <c r="G38" t="s">
        <v>130</v>
      </c>
      <c r="H38" t="s">
        <v>79</v>
      </c>
      <c r="I38" t="s">
        <v>25</v>
      </c>
      <c r="J38" t="s">
        <v>21</v>
      </c>
      <c r="K38">
        <v>0</v>
      </c>
      <c r="L38" s="3">
        <v>-550</v>
      </c>
    </row>
    <row r="39" spans="2:12" hidden="1" x14ac:dyDescent="0.25">
      <c r="B39" t="s">
        <v>208</v>
      </c>
      <c r="C39">
        <f t="shared" si="0"/>
        <v>1</v>
      </c>
      <c r="D39" t="s">
        <v>490</v>
      </c>
      <c r="E39" t="s">
        <v>490</v>
      </c>
      <c r="F39" t="s">
        <v>127</v>
      </c>
      <c r="G39" t="s">
        <v>128</v>
      </c>
      <c r="H39" t="s">
        <v>79</v>
      </c>
      <c r="I39" t="s">
        <v>25</v>
      </c>
      <c r="J39" t="s">
        <v>21</v>
      </c>
      <c r="K39">
        <v>0</v>
      </c>
      <c r="L39" s="3">
        <v>-1500</v>
      </c>
    </row>
    <row r="40" spans="2:12" hidden="1" x14ac:dyDescent="0.25">
      <c r="B40" t="s">
        <v>208</v>
      </c>
      <c r="C40">
        <f t="shared" si="0"/>
        <v>1</v>
      </c>
      <c r="D40" t="s">
        <v>491</v>
      </c>
      <c r="E40" t="s">
        <v>491</v>
      </c>
      <c r="F40" t="s">
        <v>131</v>
      </c>
      <c r="G40" t="s">
        <v>128</v>
      </c>
      <c r="H40" t="s">
        <v>79</v>
      </c>
      <c r="I40" t="s">
        <v>25</v>
      </c>
      <c r="J40" t="s">
        <v>21</v>
      </c>
      <c r="K40">
        <v>0</v>
      </c>
      <c r="L40" s="3">
        <v>-1500</v>
      </c>
    </row>
    <row r="41" spans="2:12" hidden="1" x14ac:dyDescent="0.25">
      <c r="B41" t="s">
        <v>209</v>
      </c>
      <c r="C41">
        <f t="shared" si="0"/>
        <v>1</v>
      </c>
      <c r="D41" t="s">
        <v>492</v>
      </c>
      <c r="E41" t="s">
        <v>492</v>
      </c>
      <c r="F41" t="s">
        <v>63</v>
      </c>
      <c r="G41" t="s">
        <v>89</v>
      </c>
      <c r="H41" t="s">
        <v>19</v>
      </c>
      <c r="I41" t="s">
        <v>25</v>
      </c>
      <c r="J41" t="s">
        <v>21</v>
      </c>
      <c r="K41">
        <v>1</v>
      </c>
      <c r="L41" s="3">
        <v>-24.39</v>
      </c>
    </row>
    <row r="42" spans="2:12" hidden="1" x14ac:dyDescent="0.25">
      <c r="B42" t="s">
        <v>210</v>
      </c>
      <c r="C42">
        <f t="shared" si="0"/>
        <v>1</v>
      </c>
      <c r="D42" t="s">
        <v>210</v>
      </c>
      <c r="E42" t="s">
        <v>210</v>
      </c>
      <c r="F42" t="s">
        <v>36</v>
      </c>
      <c r="G42" t="s">
        <v>61</v>
      </c>
      <c r="H42" t="s">
        <v>62</v>
      </c>
      <c r="I42" t="s">
        <v>25</v>
      </c>
      <c r="J42" t="s">
        <v>21</v>
      </c>
      <c r="K42">
        <v>0</v>
      </c>
      <c r="L42" s="3">
        <v>-40</v>
      </c>
    </row>
    <row r="43" spans="2:12" hidden="1" x14ac:dyDescent="0.25">
      <c r="B43" t="s">
        <v>211</v>
      </c>
      <c r="C43">
        <f t="shared" si="0"/>
        <v>1</v>
      </c>
      <c r="D43" t="s">
        <v>493</v>
      </c>
      <c r="E43" t="s">
        <v>493</v>
      </c>
      <c r="F43" t="s">
        <v>68</v>
      </c>
      <c r="G43" t="s">
        <v>69</v>
      </c>
      <c r="H43" t="s">
        <v>47</v>
      </c>
      <c r="I43" t="s">
        <v>20</v>
      </c>
      <c r="J43" t="s">
        <v>21</v>
      </c>
      <c r="K43">
        <v>0</v>
      </c>
      <c r="L43" s="3">
        <v>-350</v>
      </c>
    </row>
    <row r="44" spans="2:12" hidden="1" x14ac:dyDescent="0.25">
      <c r="B44" t="s">
        <v>212</v>
      </c>
      <c r="C44">
        <f t="shared" si="0"/>
        <v>1</v>
      </c>
      <c r="D44" t="s">
        <v>212</v>
      </c>
      <c r="E44" t="s">
        <v>212</v>
      </c>
      <c r="F44" t="s">
        <v>48</v>
      </c>
      <c r="G44" t="s">
        <v>158</v>
      </c>
      <c r="H44" t="s">
        <v>57</v>
      </c>
      <c r="I44" t="s">
        <v>25</v>
      </c>
      <c r="J44" t="s">
        <v>21</v>
      </c>
      <c r="K44">
        <v>0</v>
      </c>
      <c r="L44" s="3">
        <v>-6000</v>
      </c>
    </row>
    <row r="45" spans="2:12" hidden="1" x14ac:dyDescent="0.25">
      <c r="B45" t="s">
        <v>213</v>
      </c>
      <c r="C45">
        <f t="shared" si="0"/>
        <v>1</v>
      </c>
      <c r="D45" t="s">
        <v>213</v>
      </c>
      <c r="E45" t="s">
        <v>213</v>
      </c>
      <c r="F45" t="s">
        <v>36</v>
      </c>
      <c r="G45" t="s">
        <v>37</v>
      </c>
      <c r="H45" t="s">
        <v>38</v>
      </c>
      <c r="I45" t="s">
        <v>25</v>
      </c>
      <c r="J45" t="s">
        <v>21</v>
      </c>
      <c r="K45">
        <v>0</v>
      </c>
      <c r="L45" s="3">
        <v>-19.899999999999999</v>
      </c>
    </row>
    <row r="46" spans="2:12" hidden="1" x14ac:dyDescent="0.25">
      <c r="B46" t="s">
        <v>213</v>
      </c>
      <c r="C46">
        <f t="shared" si="0"/>
        <v>1</v>
      </c>
      <c r="D46" t="s">
        <v>213</v>
      </c>
      <c r="E46" t="s">
        <v>213</v>
      </c>
      <c r="F46" t="s">
        <v>300</v>
      </c>
      <c r="G46" t="s">
        <v>391</v>
      </c>
      <c r="H46" t="s">
        <v>38</v>
      </c>
      <c r="I46" t="s">
        <v>20</v>
      </c>
      <c r="J46" t="s">
        <v>21</v>
      </c>
      <c r="K46">
        <v>0</v>
      </c>
      <c r="L46" s="3">
        <v>-21.24</v>
      </c>
    </row>
    <row r="47" spans="2:12" hidden="1" x14ac:dyDescent="0.25">
      <c r="B47" t="s">
        <v>214</v>
      </c>
      <c r="C47">
        <f t="shared" si="0"/>
        <v>12</v>
      </c>
      <c r="D47" t="s">
        <v>214</v>
      </c>
      <c r="E47" t="s">
        <v>214</v>
      </c>
      <c r="F47" t="s">
        <v>182</v>
      </c>
      <c r="G47" t="s">
        <v>390</v>
      </c>
      <c r="H47" t="s">
        <v>183</v>
      </c>
      <c r="I47" t="s">
        <v>20</v>
      </c>
      <c r="J47" t="s">
        <v>21</v>
      </c>
      <c r="K47">
        <v>0</v>
      </c>
      <c r="L47" s="3">
        <v>-30.62</v>
      </c>
    </row>
    <row r="48" spans="2:12" hidden="1" x14ac:dyDescent="0.25">
      <c r="B48" t="s">
        <v>215</v>
      </c>
      <c r="C48">
        <f t="shared" si="0"/>
        <v>12</v>
      </c>
      <c r="D48" t="s">
        <v>215</v>
      </c>
      <c r="E48" t="s">
        <v>215</v>
      </c>
      <c r="F48" t="s">
        <v>81</v>
      </c>
      <c r="G48" t="s">
        <v>82</v>
      </c>
      <c r="H48" t="s">
        <v>24</v>
      </c>
      <c r="I48" t="s">
        <v>25</v>
      </c>
      <c r="J48" t="s">
        <v>26</v>
      </c>
      <c r="K48">
        <v>0</v>
      </c>
      <c r="L48" s="3">
        <v>6300</v>
      </c>
    </row>
    <row r="49" spans="2:12" hidden="1" x14ac:dyDescent="0.25">
      <c r="B49" t="s">
        <v>213</v>
      </c>
      <c r="C49">
        <f t="shared" si="0"/>
        <v>1</v>
      </c>
      <c r="D49" t="s">
        <v>215</v>
      </c>
      <c r="E49" t="s">
        <v>215</v>
      </c>
      <c r="F49" t="s">
        <v>300</v>
      </c>
      <c r="G49" t="s">
        <v>392</v>
      </c>
      <c r="H49" t="s">
        <v>480</v>
      </c>
      <c r="I49" t="s">
        <v>20</v>
      </c>
      <c r="J49" t="s">
        <v>21</v>
      </c>
      <c r="K49">
        <v>1</v>
      </c>
      <c r="L49" s="3">
        <v>-378</v>
      </c>
    </row>
    <row r="50" spans="2:12" hidden="1" x14ac:dyDescent="0.25">
      <c r="B50" t="s">
        <v>216</v>
      </c>
      <c r="C50">
        <f t="shared" si="0"/>
        <v>12</v>
      </c>
      <c r="D50" t="s">
        <v>494</v>
      </c>
      <c r="E50" t="s">
        <v>494</v>
      </c>
      <c r="F50" t="s">
        <v>129</v>
      </c>
      <c r="G50" t="s">
        <v>130</v>
      </c>
      <c r="H50" t="s">
        <v>79</v>
      </c>
      <c r="I50" t="s">
        <v>20</v>
      </c>
      <c r="J50" t="s">
        <v>21</v>
      </c>
      <c r="K50">
        <v>0</v>
      </c>
      <c r="L50" s="3">
        <v>-550</v>
      </c>
    </row>
    <row r="51" spans="2:12" hidden="1" x14ac:dyDescent="0.25">
      <c r="B51" t="s">
        <v>216</v>
      </c>
      <c r="C51">
        <f t="shared" si="0"/>
        <v>12</v>
      </c>
      <c r="D51" t="s">
        <v>494</v>
      </c>
      <c r="E51" t="s">
        <v>494</v>
      </c>
      <c r="F51" t="s">
        <v>127</v>
      </c>
      <c r="G51" t="s">
        <v>128</v>
      </c>
      <c r="H51" t="s">
        <v>79</v>
      </c>
      <c r="I51" t="s">
        <v>20</v>
      </c>
      <c r="J51" t="s">
        <v>21</v>
      </c>
      <c r="K51">
        <v>0</v>
      </c>
      <c r="L51" s="3">
        <v>-1500</v>
      </c>
    </row>
    <row r="52" spans="2:12" hidden="1" x14ac:dyDescent="0.25">
      <c r="B52" t="s">
        <v>216</v>
      </c>
      <c r="C52">
        <f t="shared" si="0"/>
        <v>12</v>
      </c>
      <c r="D52" t="s">
        <v>495</v>
      </c>
      <c r="E52" t="s">
        <v>495</v>
      </c>
      <c r="F52" t="s">
        <v>131</v>
      </c>
      <c r="G52" t="s">
        <v>128</v>
      </c>
      <c r="H52" t="s">
        <v>79</v>
      </c>
      <c r="I52" t="s">
        <v>20</v>
      </c>
      <c r="J52" t="s">
        <v>21</v>
      </c>
      <c r="K52">
        <v>0</v>
      </c>
      <c r="L52" s="3">
        <v>-1500</v>
      </c>
    </row>
    <row r="53" spans="2:12" hidden="1" x14ac:dyDescent="0.25">
      <c r="B53" t="s">
        <v>217</v>
      </c>
      <c r="C53">
        <f t="shared" si="0"/>
        <v>12</v>
      </c>
      <c r="D53" t="s">
        <v>217</v>
      </c>
      <c r="E53" t="s">
        <v>217</v>
      </c>
      <c r="F53" t="s">
        <v>45</v>
      </c>
      <c r="G53" t="s">
        <v>384</v>
      </c>
      <c r="H53" t="s">
        <v>19</v>
      </c>
      <c r="I53" t="s">
        <v>20</v>
      </c>
      <c r="J53" t="s">
        <v>21</v>
      </c>
      <c r="K53">
        <v>0</v>
      </c>
      <c r="L53" s="3">
        <v>-56.88</v>
      </c>
    </row>
    <row r="54" spans="2:12" hidden="1" x14ac:dyDescent="0.25">
      <c r="B54" t="s">
        <v>218</v>
      </c>
      <c r="C54">
        <f t="shared" si="0"/>
        <v>12</v>
      </c>
      <c r="D54" t="s">
        <v>218</v>
      </c>
      <c r="E54" t="s">
        <v>218</v>
      </c>
      <c r="F54" t="s">
        <v>68</v>
      </c>
      <c r="G54" t="s">
        <v>69</v>
      </c>
      <c r="H54" t="s">
        <v>47</v>
      </c>
      <c r="I54" t="s">
        <v>25</v>
      </c>
      <c r="J54" t="s">
        <v>21</v>
      </c>
      <c r="K54">
        <v>0</v>
      </c>
      <c r="L54" s="3">
        <v>-350</v>
      </c>
    </row>
    <row r="55" spans="2:12" hidden="1" x14ac:dyDescent="0.25">
      <c r="B55" t="s">
        <v>218</v>
      </c>
      <c r="C55">
        <f t="shared" si="0"/>
        <v>12</v>
      </c>
      <c r="D55" t="s">
        <v>218</v>
      </c>
      <c r="E55" t="s">
        <v>218</v>
      </c>
      <c r="F55" t="s">
        <v>36</v>
      </c>
      <c r="G55" t="s">
        <v>61</v>
      </c>
      <c r="H55" t="s">
        <v>62</v>
      </c>
      <c r="I55" t="s">
        <v>25</v>
      </c>
      <c r="J55" t="s">
        <v>21</v>
      </c>
      <c r="K55">
        <v>0</v>
      </c>
      <c r="L55" s="3">
        <v>-40</v>
      </c>
    </row>
    <row r="56" spans="2:12" hidden="1" x14ac:dyDescent="0.25">
      <c r="B56" t="s">
        <v>219</v>
      </c>
      <c r="C56">
        <f t="shared" si="0"/>
        <v>12</v>
      </c>
      <c r="D56" t="s">
        <v>219</v>
      </c>
      <c r="E56" t="s">
        <v>219</v>
      </c>
      <c r="F56" t="s">
        <v>71</v>
      </c>
      <c r="G56" t="s">
        <v>89</v>
      </c>
      <c r="H56" t="s">
        <v>19</v>
      </c>
      <c r="I56" t="s">
        <v>25</v>
      </c>
      <c r="J56" t="s">
        <v>21</v>
      </c>
      <c r="K56">
        <v>1</v>
      </c>
      <c r="L56" s="3">
        <v>-22</v>
      </c>
    </row>
    <row r="57" spans="2:12" hidden="1" x14ac:dyDescent="0.25">
      <c r="B57" t="s">
        <v>219</v>
      </c>
      <c r="C57">
        <f t="shared" si="0"/>
        <v>12</v>
      </c>
      <c r="D57" t="s">
        <v>219</v>
      </c>
      <c r="E57" t="s">
        <v>219</v>
      </c>
      <c r="F57" t="s">
        <v>173</v>
      </c>
      <c r="G57" t="s">
        <v>393</v>
      </c>
      <c r="H57" t="s">
        <v>47</v>
      </c>
      <c r="I57" t="s">
        <v>25</v>
      </c>
      <c r="J57" t="s">
        <v>21</v>
      </c>
      <c r="K57">
        <v>0</v>
      </c>
      <c r="L57" s="3">
        <v>-30.54</v>
      </c>
    </row>
    <row r="58" spans="2:12" hidden="1" x14ac:dyDescent="0.25">
      <c r="B58" t="s">
        <v>219</v>
      </c>
      <c r="C58">
        <f t="shared" si="0"/>
        <v>12</v>
      </c>
      <c r="D58" t="s">
        <v>219</v>
      </c>
      <c r="E58" t="s">
        <v>219</v>
      </c>
      <c r="F58" t="s">
        <v>173</v>
      </c>
      <c r="G58" t="s">
        <v>393</v>
      </c>
      <c r="H58" t="s">
        <v>47</v>
      </c>
      <c r="I58" t="s">
        <v>25</v>
      </c>
      <c r="J58" t="s">
        <v>21</v>
      </c>
      <c r="K58">
        <v>0</v>
      </c>
      <c r="L58" s="3">
        <v>-29.72</v>
      </c>
    </row>
    <row r="59" spans="2:12" hidden="1" x14ac:dyDescent="0.25">
      <c r="B59" t="s">
        <v>220</v>
      </c>
      <c r="C59">
        <f t="shared" si="0"/>
        <v>12</v>
      </c>
      <c r="D59" t="s">
        <v>220</v>
      </c>
      <c r="E59" t="s">
        <v>220</v>
      </c>
      <c r="F59" t="s">
        <v>48</v>
      </c>
      <c r="G59" t="s">
        <v>394</v>
      </c>
      <c r="H59" t="s">
        <v>480</v>
      </c>
      <c r="I59" t="s">
        <v>20</v>
      </c>
      <c r="J59" t="s">
        <v>21</v>
      </c>
      <c r="K59">
        <v>0</v>
      </c>
      <c r="L59" s="3">
        <v>-333.96</v>
      </c>
    </row>
    <row r="60" spans="2:12" hidden="1" x14ac:dyDescent="0.25">
      <c r="B60" t="s">
        <v>220</v>
      </c>
      <c r="C60">
        <f t="shared" si="0"/>
        <v>12</v>
      </c>
      <c r="D60" t="s">
        <v>220</v>
      </c>
      <c r="E60" t="s">
        <v>220</v>
      </c>
      <c r="F60" t="s">
        <v>182</v>
      </c>
      <c r="G60" t="s">
        <v>390</v>
      </c>
      <c r="H60" t="s">
        <v>183</v>
      </c>
      <c r="I60" t="s">
        <v>20</v>
      </c>
      <c r="J60" t="s">
        <v>21</v>
      </c>
      <c r="K60">
        <v>0</v>
      </c>
      <c r="L60" s="3">
        <v>-30.49</v>
      </c>
    </row>
    <row r="61" spans="2:12" hidden="1" x14ac:dyDescent="0.25">
      <c r="B61" t="s">
        <v>220</v>
      </c>
      <c r="C61">
        <f t="shared" si="0"/>
        <v>12</v>
      </c>
      <c r="D61" t="s">
        <v>220</v>
      </c>
      <c r="E61" t="s">
        <v>220</v>
      </c>
      <c r="F61" t="s">
        <v>48</v>
      </c>
      <c r="G61" t="s">
        <v>395</v>
      </c>
      <c r="H61" t="s">
        <v>57</v>
      </c>
      <c r="I61" t="s">
        <v>25</v>
      </c>
      <c r="J61" t="s">
        <v>21</v>
      </c>
      <c r="K61">
        <v>0</v>
      </c>
      <c r="L61" s="3">
        <v>-7000</v>
      </c>
    </row>
    <row r="62" spans="2:12" hidden="1" x14ac:dyDescent="0.25">
      <c r="B62" t="s">
        <v>221</v>
      </c>
      <c r="C62">
        <f t="shared" si="0"/>
        <v>12</v>
      </c>
      <c r="D62" t="s">
        <v>221</v>
      </c>
      <c r="E62" t="s">
        <v>221</v>
      </c>
      <c r="F62" t="s">
        <v>36</v>
      </c>
      <c r="G62" t="s">
        <v>37</v>
      </c>
      <c r="H62" t="s">
        <v>38</v>
      </c>
      <c r="I62" t="s">
        <v>25</v>
      </c>
      <c r="J62" t="s">
        <v>21</v>
      </c>
      <c r="K62">
        <v>0</v>
      </c>
      <c r="L62" s="3">
        <v>-19.899999999999999</v>
      </c>
    </row>
    <row r="63" spans="2:12" hidden="1" x14ac:dyDescent="0.25">
      <c r="B63" t="s">
        <v>221</v>
      </c>
      <c r="C63">
        <f t="shared" ref="C63:C125" si="1">MONTH(B63)</f>
        <v>12</v>
      </c>
      <c r="D63" t="s">
        <v>221</v>
      </c>
      <c r="E63" t="s">
        <v>221</v>
      </c>
      <c r="F63" t="s">
        <v>103</v>
      </c>
      <c r="G63" t="s">
        <v>381</v>
      </c>
      <c r="H63" t="s">
        <v>44</v>
      </c>
      <c r="I63" t="s">
        <v>20</v>
      </c>
      <c r="J63" t="s">
        <v>26</v>
      </c>
      <c r="K63">
        <v>0</v>
      </c>
      <c r="L63" s="3">
        <v>90</v>
      </c>
    </row>
    <row r="64" spans="2:12" hidden="1" x14ac:dyDescent="0.25">
      <c r="B64" t="s">
        <v>221</v>
      </c>
      <c r="C64">
        <f t="shared" si="1"/>
        <v>12</v>
      </c>
      <c r="D64" t="s">
        <v>221</v>
      </c>
      <c r="E64" t="s">
        <v>221</v>
      </c>
      <c r="F64" t="s">
        <v>48</v>
      </c>
      <c r="G64" t="s">
        <v>49</v>
      </c>
      <c r="H64" t="s">
        <v>57</v>
      </c>
      <c r="I64" t="s">
        <v>20</v>
      </c>
      <c r="J64" t="s">
        <v>21</v>
      </c>
      <c r="K64">
        <v>0</v>
      </c>
      <c r="L64" s="3">
        <v>-6000</v>
      </c>
    </row>
    <row r="65" spans="2:12" hidden="1" x14ac:dyDescent="0.25">
      <c r="B65" t="s">
        <v>222</v>
      </c>
      <c r="C65">
        <f t="shared" si="1"/>
        <v>12</v>
      </c>
      <c r="D65" t="s">
        <v>222</v>
      </c>
      <c r="E65" t="s">
        <v>222</v>
      </c>
      <c r="F65" t="s">
        <v>77</v>
      </c>
      <c r="G65" t="s">
        <v>396</v>
      </c>
      <c r="H65" t="s">
        <v>19</v>
      </c>
      <c r="I65" t="s">
        <v>25</v>
      </c>
      <c r="J65" t="s">
        <v>21</v>
      </c>
      <c r="K65">
        <v>0</v>
      </c>
      <c r="L65" s="3">
        <v>-398</v>
      </c>
    </row>
    <row r="66" spans="2:12" hidden="1" x14ac:dyDescent="0.25">
      <c r="B66" t="s">
        <v>222</v>
      </c>
      <c r="C66">
        <f t="shared" si="1"/>
        <v>12</v>
      </c>
      <c r="D66" t="s">
        <v>222</v>
      </c>
      <c r="E66" t="s">
        <v>222</v>
      </c>
      <c r="F66" t="s">
        <v>301</v>
      </c>
      <c r="G66" t="s">
        <v>397</v>
      </c>
      <c r="H66" t="s">
        <v>29</v>
      </c>
      <c r="I66" t="s">
        <v>25</v>
      </c>
      <c r="J66" t="s">
        <v>21</v>
      </c>
      <c r="K66">
        <v>0</v>
      </c>
      <c r="L66" s="3">
        <v>-96</v>
      </c>
    </row>
    <row r="67" spans="2:12" hidden="1" x14ac:dyDescent="0.25">
      <c r="B67" t="s">
        <v>223</v>
      </c>
      <c r="C67">
        <f t="shared" si="1"/>
        <v>12</v>
      </c>
      <c r="D67" t="s">
        <v>223</v>
      </c>
      <c r="E67" t="s">
        <v>223</v>
      </c>
      <c r="F67" t="s">
        <v>302</v>
      </c>
      <c r="G67" t="s">
        <v>398</v>
      </c>
      <c r="H67" t="s">
        <v>47</v>
      </c>
      <c r="I67" t="s">
        <v>25</v>
      </c>
      <c r="J67" t="s">
        <v>21</v>
      </c>
      <c r="K67">
        <v>0</v>
      </c>
      <c r="L67" s="3">
        <v>-250</v>
      </c>
    </row>
    <row r="68" spans="2:12" hidden="1" x14ac:dyDescent="0.25">
      <c r="B68" t="s">
        <v>223</v>
      </c>
      <c r="C68">
        <f t="shared" si="1"/>
        <v>12</v>
      </c>
      <c r="D68" t="s">
        <v>223</v>
      </c>
      <c r="E68" t="s">
        <v>223</v>
      </c>
      <c r="F68" t="s">
        <v>45</v>
      </c>
      <c r="G68" t="s">
        <v>162</v>
      </c>
      <c r="H68" t="s">
        <v>19</v>
      </c>
      <c r="I68" t="s">
        <v>20</v>
      </c>
      <c r="J68" t="s">
        <v>21</v>
      </c>
      <c r="K68">
        <v>0</v>
      </c>
      <c r="L68" s="3">
        <v>-10</v>
      </c>
    </row>
    <row r="69" spans="2:12" hidden="1" x14ac:dyDescent="0.25">
      <c r="B69" t="s">
        <v>224</v>
      </c>
      <c r="C69">
        <f t="shared" si="1"/>
        <v>12</v>
      </c>
      <c r="D69" t="s">
        <v>224</v>
      </c>
      <c r="E69" t="s">
        <v>224</v>
      </c>
      <c r="F69" t="s">
        <v>303</v>
      </c>
      <c r="G69" t="s">
        <v>399</v>
      </c>
      <c r="H69" t="s">
        <v>19</v>
      </c>
      <c r="I69" t="s">
        <v>25</v>
      </c>
      <c r="J69" t="s">
        <v>21</v>
      </c>
      <c r="K69">
        <v>0</v>
      </c>
      <c r="L69" s="3">
        <v>-27.16</v>
      </c>
    </row>
    <row r="70" spans="2:12" hidden="1" x14ac:dyDescent="0.25">
      <c r="B70" t="s">
        <v>224</v>
      </c>
      <c r="C70">
        <f t="shared" si="1"/>
        <v>12</v>
      </c>
      <c r="D70" t="s">
        <v>224</v>
      </c>
      <c r="E70" t="s">
        <v>224</v>
      </c>
      <c r="F70" t="s">
        <v>81</v>
      </c>
      <c r="G70" t="s">
        <v>82</v>
      </c>
      <c r="H70" t="s">
        <v>24</v>
      </c>
      <c r="I70" t="s">
        <v>25</v>
      </c>
      <c r="J70" t="s">
        <v>26</v>
      </c>
      <c r="K70">
        <v>0</v>
      </c>
      <c r="L70" s="3">
        <v>6300</v>
      </c>
    </row>
    <row r="71" spans="2:12" hidden="1" x14ac:dyDescent="0.25">
      <c r="B71" t="s">
        <v>206</v>
      </c>
      <c r="C71">
        <f t="shared" si="1"/>
        <v>12</v>
      </c>
      <c r="D71" t="s">
        <v>496</v>
      </c>
      <c r="E71" t="s">
        <v>206</v>
      </c>
      <c r="F71" t="s">
        <v>304</v>
      </c>
      <c r="G71" t="s">
        <v>400</v>
      </c>
      <c r="H71" t="s">
        <v>47</v>
      </c>
      <c r="I71" t="s">
        <v>25</v>
      </c>
      <c r="J71" t="s">
        <v>21</v>
      </c>
      <c r="K71">
        <v>1</v>
      </c>
      <c r="L71" s="3">
        <v>-1000</v>
      </c>
    </row>
    <row r="72" spans="2:12" hidden="1" x14ac:dyDescent="0.25">
      <c r="B72" t="s">
        <v>206</v>
      </c>
      <c r="C72">
        <f t="shared" si="1"/>
        <v>12</v>
      </c>
      <c r="D72" t="s">
        <v>206</v>
      </c>
      <c r="E72" t="s">
        <v>206</v>
      </c>
      <c r="F72" t="s">
        <v>155</v>
      </c>
      <c r="G72" t="s">
        <v>401</v>
      </c>
      <c r="H72" t="s">
        <v>47</v>
      </c>
      <c r="I72" t="s">
        <v>25</v>
      </c>
      <c r="J72" t="s">
        <v>21</v>
      </c>
      <c r="K72">
        <v>0</v>
      </c>
      <c r="L72" s="3">
        <v>-1000</v>
      </c>
    </row>
    <row r="73" spans="2:12" hidden="1" x14ac:dyDescent="0.25">
      <c r="B73" t="s">
        <v>15</v>
      </c>
      <c r="C73">
        <f t="shared" si="1"/>
        <v>11</v>
      </c>
      <c r="D73" t="s">
        <v>15</v>
      </c>
      <c r="E73" t="s">
        <v>15</v>
      </c>
      <c r="F73" t="s">
        <v>137</v>
      </c>
      <c r="G73" t="s">
        <v>138</v>
      </c>
      <c r="H73" t="s">
        <v>55</v>
      </c>
      <c r="I73" t="s">
        <v>20</v>
      </c>
      <c r="J73" t="s">
        <v>21</v>
      </c>
      <c r="K73">
        <v>0</v>
      </c>
      <c r="L73" s="3">
        <v>-18</v>
      </c>
    </row>
    <row r="74" spans="2:12" hidden="1" x14ac:dyDescent="0.25">
      <c r="B74" t="s">
        <v>134</v>
      </c>
      <c r="C74">
        <f t="shared" si="1"/>
        <v>11</v>
      </c>
      <c r="D74" t="s">
        <v>134</v>
      </c>
      <c r="E74" t="s">
        <v>134</v>
      </c>
      <c r="F74" t="s">
        <v>135</v>
      </c>
      <c r="G74" t="s">
        <v>136</v>
      </c>
      <c r="H74" t="s">
        <v>29</v>
      </c>
      <c r="I74" t="s">
        <v>25</v>
      </c>
      <c r="J74" t="s">
        <v>21</v>
      </c>
      <c r="K74">
        <v>0</v>
      </c>
      <c r="L74" s="3">
        <v>-1232.5</v>
      </c>
    </row>
    <row r="75" spans="2:12" hidden="1" x14ac:dyDescent="0.25">
      <c r="B75" t="s">
        <v>65</v>
      </c>
      <c r="C75">
        <f t="shared" si="1"/>
        <v>11</v>
      </c>
      <c r="D75" t="s">
        <v>65</v>
      </c>
      <c r="E75" t="s">
        <v>65</v>
      </c>
      <c r="F75" t="s">
        <v>71</v>
      </c>
      <c r="G75" t="s">
        <v>132</v>
      </c>
      <c r="H75" t="s">
        <v>19</v>
      </c>
      <c r="I75" t="s">
        <v>20</v>
      </c>
      <c r="J75" t="s">
        <v>21</v>
      </c>
      <c r="K75">
        <v>1</v>
      </c>
      <c r="L75" s="3">
        <v>-24</v>
      </c>
    </row>
    <row r="76" spans="2:12" hidden="1" x14ac:dyDescent="0.25">
      <c r="B76" t="s">
        <v>65</v>
      </c>
      <c r="C76">
        <f t="shared" si="1"/>
        <v>11</v>
      </c>
      <c r="D76" t="s">
        <v>65</v>
      </c>
      <c r="E76" t="s">
        <v>65</v>
      </c>
      <c r="F76" t="s">
        <v>77</v>
      </c>
      <c r="G76" t="s">
        <v>133</v>
      </c>
      <c r="H76" t="s">
        <v>55</v>
      </c>
      <c r="I76" t="s">
        <v>25</v>
      </c>
      <c r="J76" t="s">
        <v>21</v>
      </c>
      <c r="K76">
        <v>0</v>
      </c>
      <c r="L76" s="3">
        <v>-947</v>
      </c>
    </row>
    <row r="77" spans="2:12" hidden="1" x14ac:dyDescent="0.25">
      <c r="B77" t="s">
        <v>124</v>
      </c>
      <c r="C77">
        <f t="shared" si="1"/>
        <v>11</v>
      </c>
      <c r="D77" t="s">
        <v>125</v>
      </c>
      <c r="E77" t="s">
        <v>125</v>
      </c>
      <c r="F77" t="s">
        <v>100</v>
      </c>
      <c r="G77" t="s">
        <v>126</v>
      </c>
      <c r="H77" t="s">
        <v>29</v>
      </c>
      <c r="I77" t="s">
        <v>25</v>
      </c>
      <c r="J77" t="s">
        <v>21</v>
      </c>
      <c r="K77">
        <v>1</v>
      </c>
      <c r="L77" s="3">
        <v>-29.5</v>
      </c>
    </row>
    <row r="78" spans="2:12" hidden="1" x14ac:dyDescent="0.25">
      <c r="B78" t="s">
        <v>124</v>
      </c>
      <c r="C78">
        <f t="shared" si="1"/>
        <v>11</v>
      </c>
      <c r="D78" t="s">
        <v>125</v>
      </c>
      <c r="E78" t="s">
        <v>125</v>
      </c>
      <c r="F78" t="s">
        <v>131</v>
      </c>
      <c r="G78" t="s">
        <v>128</v>
      </c>
      <c r="H78" t="s">
        <v>79</v>
      </c>
      <c r="I78" t="s">
        <v>20</v>
      </c>
      <c r="J78" t="s">
        <v>21</v>
      </c>
      <c r="K78">
        <v>0</v>
      </c>
      <c r="L78" s="3">
        <v>-1500</v>
      </c>
    </row>
    <row r="79" spans="2:12" hidden="1" x14ac:dyDescent="0.25">
      <c r="B79" t="s">
        <v>124</v>
      </c>
      <c r="C79">
        <f t="shared" si="1"/>
        <v>11</v>
      </c>
      <c r="D79" t="s">
        <v>125</v>
      </c>
      <c r="E79" t="s">
        <v>125</v>
      </c>
      <c r="F79" t="s">
        <v>127</v>
      </c>
      <c r="G79" t="s">
        <v>128</v>
      </c>
      <c r="H79" t="s">
        <v>79</v>
      </c>
      <c r="I79" t="s">
        <v>20</v>
      </c>
      <c r="J79" t="s">
        <v>21</v>
      </c>
      <c r="K79">
        <v>0</v>
      </c>
      <c r="L79" s="3">
        <v>-1500</v>
      </c>
    </row>
    <row r="80" spans="2:12" hidden="1" x14ac:dyDescent="0.25">
      <c r="B80" t="s">
        <v>124</v>
      </c>
      <c r="C80">
        <f t="shared" si="1"/>
        <v>11</v>
      </c>
      <c r="D80" t="s">
        <v>125</v>
      </c>
      <c r="E80" t="s">
        <v>125</v>
      </c>
      <c r="F80" t="s">
        <v>129</v>
      </c>
      <c r="G80" t="s">
        <v>130</v>
      </c>
      <c r="H80" t="s">
        <v>79</v>
      </c>
      <c r="I80" t="s">
        <v>20</v>
      </c>
      <c r="J80" t="s">
        <v>21</v>
      </c>
      <c r="K80">
        <v>0</v>
      </c>
      <c r="L80" s="3">
        <v>-550</v>
      </c>
    </row>
    <row r="81" spans="2:12" hidden="1" x14ac:dyDescent="0.25">
      <c r="B81" t="s">
        <v>109</v>
      </c>
      <c r="C81">
        <f t="shared" si="1"/>
        <v>11</v>
      </c>
      <c r="D81" t="s">
        <v>109</v>
      </c>
      <c r="E81" t="s">
        <v>109</v>
      </c>
      <c r="F81" t="s">
        <v>110</v>
      </c>
      <c r="G81" t="s">
        <v>111</v>
      </c>
      <c r="H81" t="s">
        <v>19</v>
      </c>
      <c r="I81" t="s">
        <v>20</v>
      </c>
      <c r="J81" t="s">
        <v>21</v>
      </c>
      <c r="K81">
        <v>0</v>
      </c>
      <c r="L81" s="3">
        <v>-3.3</v>
      </c>
    </row>
    <row r="82" spans="2:12" hidden="1" x14ac:dyDescent="0.25">
      <c r="B82" t="s">
        <v>109</v>
      </c>
      <c r="C82">
        <f t="shared" si="1"/>
        <v>11</v>
      </c>
      <c r="D82" t="s">
        <v>109</v>
      </c>
      <c r="E82" t="s">
        <v>109</v>
      </c>
      <c r="F82" t="s">
        <v>112</v>
      </c>
      <c r="G82" t="s">
        <v>113</v>
      </c>
      <c r="H82" t="s">
        <v>19</v>
      </c>
      <c r="I82" t="s">
        <v>20</v>
      </c>
      <c r="J82" t="s">
        <v>21</v>
      </c>
      <c r="K82">
        <v>1</v>
      </c>
      <c r="L82" s="3">
        <v>-66</v>
      </c>
    </row>
    <row r="83" spans="2:12" hidden="1" x14ac:dyDescent="0.25">
      <c r="B83" t="s">
        <v>109</v>
      </c>
      <c r="C83">
        <f t="shared" si="1"/>
        <v>11</v>
      </c>
      <c r="D83" t="s">
        <v>109</v>
      </c>
      <c r="E83" t="s">
        <v>109</v>
      </c>
      <c r="F83" t="s">
        <v>110</v>
      </c>
      <c r="G83" t="s">
        <v>123</v>
      </c>
      <c r="H83" t="s">
        <v>47</v>
      </c>
      <c r="I83" t="s">
        <v>20</v>
      </c>
      <c r="J83" t="s">
        <v>21</v>
      </c>
      <c r="K83">
        <v>1</v>
      </c>
      <c r="L83" s="3">
        <v>-100</v>
      </c>
    </row>
    <row r="84" spans="2:12" hidden="1" x14ac:dyDescent="0.25">
      <c r="B84" t="s">
        <v>109</v>
      </c>
      <c r="C84">
        <f t="shared" si="1"/>
        <v>11</v>
      </c>
      <c r="D84" t="s">
        <v>109</v>
      </c>
      <c r="E84" t="s">
        <v>109</v>
      </c>
      <c r="F84" t="s">
        <v>118</v>
      </c>
      <c r="G84" t="s">
        <v>119</v>
      </c>
      <c r="H84" t="s">
        <v>19</v>
      </c>
      <c r="I84" t="s">
        <v>20</v>
      </c>
      <c r="J84" t="s">
        <v>21</v>
      </c>
      <c r="K84">
        <v>1</v>
      </c>
      <c r="L84" s="3">
        <v>-68.83</v>
      </c>
    </row>
    <row r="85" spans="2:12" hidden="1" x14ac:dyDescent="0.25">
      <c r="B85" t="s">
        <v>109</v>
      </c>
      <c r="C85">
        <f t="shared" si="1"/>
        <v>11</v>
      </c>
      <c r="D85" t="s">
        <v>109</v>
      </c>
      <c r="E85" t="s">
        <v>109</v>
      </c>
      <c r="F85" t="s">
        <v>114</v>
      </c>
      <c r="G85" t="s">
        <v>115</v>
      </c>
      <c r="H85" t="s">
        <v>19</v>
      </c>
      <c r="I85" t="s">
        <v>20</v>
      </c>
      <c r="J85" t="s">
        <v>21</v>
      </c>
      <c r="K85">
        <v>1</v>
      </c>
      <c r="L85" s="3">
        <v>-69.8</v>
      </c>
    </row>
    <row r="86" spans="2:12" hidden="1" x14ac:dyDescent="0.25">
      <c r="B86" t="s">
        <v>109</v>
      </c>
      <c r="C86">
        <f t="shared" si="1"/>
        <v>11</v>
      </c>
      <c r="D86" t="s">
        <v>109</v>
      </c>
      <c r="E86" t="s">
        <v>109</v>
      </c>
      <c r="F86" t="s">
        <v>116</v>
      </c>
      <c r="G86" t="s">
        <v>117</v>
      </c>
      <c r="H86" t="s">
        <v>19</v>
      </c>
      <c r="I86" t="s">
        <v>20</v>
      </c>
      <c r="J86" t="s">
        <v>21</v>
      </c>
      <c r="K86">
        <v>1</v>
      </c>
      <c r="L86" s="3">
        <v>-20</v>
      </c>
    </row>
    <row r="87" spans="2:12" hidden="1" x14ac:dyDescent="0.25">
      <c r="B87" t="s">
        <v>109</v>
      </c>
      <c r="C87">
        <f t="shared" si="1"/>
        <v>11</v>
      </c>
      <c r="D87" t="s">
        <v>109</v>
      </c>
      <c r="E87" t="s">
        <v>109</v>
      </c>
      <c r="F87" t="s">
        <v>121</v>
      </c>
      <c r="G87" t="s">
        <v>122</v>
      </c>
      <c r="H87" t="s">
        <v>19</v>
      </c>
      <c r="I87" t="s">
        <v>20</v>
      </c>
      <c r="J87" t="s">
        <v>21</v>
      </c>
      <c r="K87">
        <v>1</v>
      </c>
      <c r="L87" s="3">
        <v>-26.7</v>
      </c>
    </row>
    <row r="88" spans="2:12" hidden="1" x14ac:dyDescent="0.25">
      <c r="B88" t="s">
        <v>109</v>
      </c>
      <c r="C88">
        <f t="shared" si="1"/>
        <v>11</v>
      </c>
      <c r="D88" t="s">
        <v>109</v>
      </c>
      <c r="E88" t="s">
        <v>109</v>
      </c>
      <c r="F88" t="s">
        <v>110</v>
      </c>
      <c r="G88" t="s">
        <v>120</v>
      </c>
      <c r="H88" t="s">
        <v>19</v>
      </c>
      <c r="I88" t="s">
        <v>20</v>
      </c>
      <c r="J88" t="s">
        <v>21</v>
      </c>
      <c r="K88">
        <v>0</v>
      </c>
      <c r="L88" s="3">
        <v>-4.2</v>
      </c>
    </row>
    <row r="89" spans="2:12" hidden="1" x14ac:dyDescent="0.25">
      <c r="B89" t="s">
        <v>102</v>
      </c>
      <c r="C89">
        <f t="shared" si="1"/>
        <v>11</v>
      </c>
      <c r="D89" t="s">
        <v>102</v>
      </c>
      <c r="E89" t="s">
        <v>102</v>
      </c>
      <c r="F89" t="s">
        <v>107</v>
      </c>
      <c r="G89" t="s">
        <v>108</v>
      </c>
      <c r="H89" t="s">
        <v>19</v>
      </c>
      <c r="I89" t="s">
        <v>20</v>
      </c>
      <c r="J89" t="s">
        <v>21</v>
      </c>
      <c r="K89">
        <v>1</v>
      </c>
      <c r="L89" s="3">
        <v>-40</v>
      </c>
    </row>
    <row r="90" spans="2:12" hidden="1" x14ac:dyDescent="0.25">
      <c r="B90" t="s">
        <v>102</v>
      </c>
      <c r="C90">
        <f t="shared" si="1"/>
        <v>11</v>
      </c>
      <c r="D90" t="s">
        <v>102</v>
      </c>
      <c r="E90" t="s">
        <v>102</v>
      </c>
      <c r="F90" t="s">
        <v>103</v>
      </c>
      <c r="G90" t="s">
        <v>381</v>
      </c>
      <c r="H90" t="s">
        <v>44</v>
      </c>
      <c r="I90" t="s">
        <v>20</v>
      </c>
      <c r="J90" t="s">
        <v>26</v>
      </c>
      <c r="K90">
        <v>0</v>
      </c>
      <c r="L90" s="3">
        <v>160</v>
      </c>
    </row>
    <row r="91" spans="2:12" hidden="1" x14ac:dyDescent="0.25">
      <c r="B91" t="s">
        <v>97</v>
      </c>
      <c r="C91">
        <f t="shared" si="1"/>
        <v>11</v>
      </c>
      <c r="D91" t="s">
        <v>97</v>
      </c>
      <c r="E91" t="s">
        <v>97</v>
      </c>
      <c r="F91" t="s">
        <v>98</v>
      </c>
      <c r="G91" t="s">
        <v>99</v>
      </c>
      <c r="H91" t="s">
        <v>19</v>
      </c>
      <c r="I91" t="s">
        <v>25</v>
      </c>
      <c r="J91" t="s">
        <v>21</v>
      </c>
      <c r="K91">
        <v>1</v>
      </c>
      <c r="L91" s="3">
        <v>-57</v>
      </c>
    </row>
    <row r="92" spans="2:12" hidden="1" x14ac:dyDescent="0.25">
      <c r="B92" t="s">
        <v>97</v>
      </c>
      <c r="C92">
        <f t="shared" si="1"/>
        <v>11</v>
      </c>
      <c r="D92" t="s">
        <v>97</v>
      </c>
      <c r="E92" t="s">
        <v>97</v>
      </c>
      <c r="F92" t="s">
        <v>105</v>
      </c>
      <c r="G92" t="s">
        <v>106</v>
      </c>
      <c r="H92" t="s">
        <v>19</v>
      </c>
      <c r="I92" t="s">
        <v>25</v>
      </c>
      <c r="J92" t="s">
        <v>21</v>
      </c>
      <c r="K92">
        <v>1</v>
      </c>
      <c r="L92" s="3">
        <v>-38.9</v>
      </c>
    </row>
    <row r="93" spans="2:12" hidden="1" x14ac:dyDescent="0.25">
      <c r="B93" t="s">
        <v>102</v>
      </c>
      <c r="C93">
        <f t="shared" si="1"/>
        <v>11</v>
      </c>
      <c r="D93" t="s">
        <v>97</v>
      </c>
      <c r="E93" t="s">
        <v>97</v>
      </c>
      <c r="F93" t="s">
        <v>103</v>
      </c>
      <c r="G93" t="s">
        <v>381</v>
      </c>
      <c r="H93" t="s">
        <v>44</v>
      </c>
      <c r="I93" t="s">
        <v>20</v>
      </c>
      <c r="J93" t="s">
        <v>26</v>
      </c>
      <c r="K93">
        <v>0</v>
      </c>
      <c r="L93" s="3">
        <v>240</v>
      </c>
    </row>
    <row r="94" spans="2:12" hidden="1" x14ac:dyDescent="0.25">
      <c r="B94" t="s">
        <v>97</v>
      </c>
      <c r="C94">
        <f t="shared" si="1"/>
        <v>11</v>
      </c>
      <c r="D94" t="s">
        <v>97</v>
      </c>
      <c r="E94" t="s">
        <v>97</v>
      </c>
      <c r="F94" t="s">
        <v>100</v>
      </c>
      <c r="G94" t="s">
        <v>101</v>
      </c>
      <c r="H94" t="s">
        <v>19</v>
      </c>
      <c r="I94" t="s">
        <v>20</v>
      </c>
      <c r="J94" t="s">
        <v>21</v>
      </c>
      <c r="K94">
        <v>1</v>
      </c>
      <c r="L94" s="3">
        <v>-148.88</v>
      </c>
    </row>
    <row r="95" spans="2:12" hidden="1" x14ac:dyDescent="0.25">
      <c r="B95" t="s">
        <v>90</v>
      </c>
      <c r="C95">
        <f t="shared" si="1"/>
        <v>11</v>
      </c>
      <c r="D95" t="s">
        <v>90</v>
      </c>
      <c r="E95" t="s">
        <v>90</v>
      </c>
      <c r="F95" t="s">
        <v>94</v>
      </c>
      <c r="G95" t="s">
        <v>95</v>
      </c>
      <c r="H95" t="s">
        <v>96</v>
      </c>
      <c r="I95" t="s">
        <v>93</v>
      </c>
      <c r="J95" t="s">
        <v>21</v>
      </c>
      <c r="K95">
        <v>0</v>
      </c>
      <c r="L95" s="3">
        <v>-2.4900000000000002</v>
      </c>
    </row>
    <row r="96" spans="2:12" hidden="1" x14ac:dyDescent="0.25">
      <c r="B96" t="s">
        <v>15</v>
      </c>
      <c r="C96">
        <f t="shared" si="1"/>
        <v>11</v>
      </c>
      <c r="D96" t="s">
        <v>88</v>
      </c>
      <c r="E96" t="s">
        <v>88</v>
      </c>
      <c r="F96" t="s">
        <v>63</v>
      </c>
      <c r="G96" t="s">
        <v>89</v>
      </c>
      <c r="H96" t="s">
        <v>19</v>
      </c>
      <c r="I96" t="s">
        <v>20</v>
      </c>
      <c r="J96" t="s">
        <v>21</v>
      </c>
      <c r="K96">
        <v>1</v>
      </c>
      <c r="L96" s="3">
        <v>-25.92</v>
      </c>
    </row>
    <row r="97" spans="2:12" hidden="1" x14ac:dyDescent="0.25">
      <c r="B97" t="s">
        <v>90</v>
      </c>
      <c r="C97">
        <f t="shared" si="1"/>
        <v>11</v>
      </c>
      <c r="D97" t="s">
        <v>88</v>
      </c>
      <c r="E97" t="s">
        <v>88</v>
      </c>
      <c r="F97" t="s">
        <v>91</v>
      </c>
      <c r="G97" t="s">
        <v>92</v>
      </c>
      <c r="H97" t="s">
        <v>44</v>
      </c>
      <c r="I97" t="s">
        <v>93</v>
      </c>
      <c r="J97" t="s">
        <v>26</v>
      </c>
      <c r="K97">
        <v>2</v>
      </c>
      <c r="L97" s="3">
        <v>526</v>
      </c>
    </row>
    <row r="98" spans="2:12" hidden="1" x14ac:dyDescent="0.25">
      <c r="B98" t="s">
        <v>85</v>
      </c>
      <c r="C98">
        <f t="shared" si="1"/>
        <v>11</v>
      </c>
      <c r="D98" t="s">
        <v>85</v>
      </c>
      <c r="E98" t="s">
        <v>85</v>
      </c>
      <c r="F98" t="s">
        <v>86</v>
      </c>
      <c r="G98" t="s">
        <v>87</v>
      </c>
      <c r="H98" t="s">
        <v>19</v>
      </c>
      <c r="I98" t="s">
        <v>20</v>
      </c>
      <c r="J98" t="s">
        <v>21</v>
      </c>
      <c r="K98">
        <v>0</v>
      </c>
      <c r="L98" s="3">
        <v>-136.5</v>
      </c>
    </row>
    <row r="99" spans="2:12" hidden="1" x14ac:dyDescent="0.25">
      <c r="B99" t="s">
        <v>76</v>
      </c>
      <c r="C99">
        <f t="shared" si="1"/>
        <v>11</v>
      </c>
      <c r="D99" t="s">
        <v>80</v>
      </c>
      <c r="E99" t="s">
        <v>80</v>
      </c>
      <c r="F99" t="s">
        <v>81</v>
      </c>
      <c r="G99" t="s">
        <v>82</v>
      </c>
      <c r="H99" t="s">
        <v>24</v>
      </c>
      <c r="I99" t="s">
        <v>25</v>
      </c>
      <c r="J99" t="s">
        <v>26</v>
      </c>
      <c r="K99">
        <v>0</v>
      </c>
      <c r="L99" s="3">
        <v>6300</v>
      </c>
    </row>
    <row r="100" spans="2:12" hidden="1" x14ac:dyDescent="0.25">
      <c r="B100" t="s">
        <v>80</v>
      </c>
      <c r="C100">
        <f t="shared" si="1"/>
        <v>11</v>
      </c>
      <c r="D100" t="s">
        <v>80</v>
      </c>
      <c r="E100" t="s">
        <v>80</v>
      </c>
      <c r="F100" t="s">
        <v>83</v>
      </c>
      <c r="G100" t="s">
        <v>84</v>
      </c>
      <c r="H100" t="s">
        <v>47</v>
      </c>
      <c r="I100" t="s">
        <v>25</v>
      </c>
      <c r="J100" t="s">
        <v>21</v>
      </c>
      <c r="K100">
        <v>0</v>
      </c>
      <c r="L100" s="3">
        <v>-270</v>
      </c>
    </row>
    <row r="101" spans="2:12" hidden="1" x14ac:dyDescent="0.25">
      <c r="B101" t="s">
        <v>76</v>
      </c>
      <c r="C101">
        <f t="shared" si="1"/>
        <v>11</v>
      </c>
      <c r="D101" t="s">
        <v>76</v>
      </c>
      <c r="E101" t="s">
        <v>76</v>
      </c>
      <c r="F101" t="s">
        <v>77</v>
      </c>
      <c r="G101" t="s">
        <v>78</v>
      </c>
      <c r="H101" t="s">
        <v>79</v>
      </c>
      <c r="I101" t="s">
        <v>25</v>
      </c>
      <c r="J101" t="s">
        <v>21</v>
      </c>
      <c r="K101">
        <v>0</v>
      </c>
      <c r="L101" s="3">
        <v>-1448</v>
      </c>
    </row>
    <row r="102" spans="2:12" hidden="1" x14ac:dyDescent="0.25">
      <c r="B102" t="s">
        <v>41</v>
      </c>
      <c r="C102">
        <f t="shared" si="1"/>
        <v>11</v>
      </c>
      <c r="D102" t="s">
        <v>41</v>
      </c>
      <c r="E102" t="s">
        <v>41</v>
      </c>
      <c r="F102" t="s">
        <v>48</v>
      </c>
      <c r="G102" t="s">
        <v>73</v>
      </c>
      <c r="H102" t="s">
        <v>47</v>
      </c>
      <c r="I102" t="s">
        <v>20</v>
      </c>
      <c r="J102" t="s">
        <v>21</v>
      </c>
      <c r="K102">
        <v>0</v>
      </c>
      <c r="L102" s="3">
        <v>-318.26</v>
      </c>
    </row>
    <row r="103" spans="2:12" hidden="1" x14ac:dyDescent="0.25">
      <c r="B103" t="s">
        <v>41</v>
      </c>
      <c r="C103">
        <f t="shared" si="1"/>
        <v>11</v>
      </c>
      <c r="D103" t="s">
        <v>41</v>
      </c>
      <c r="E103" t="s">
        <v>41</v>
      </c>
      <c r="F103" t="s">
        <v>74</v>
      </c>
      <c r="G103" t="s">
        <v>75</v>
      </c>
      <c r="H103" t="s">
        <v>19</v>
      </c>
      <c r="I103" t="s">
        <v>20</v>
      </c>
      <c r="J103" t="s">
        <v>21</v>
      </c>
      <c r="K103">
        <v>1</v>
      </c>
      <c r="L103" s="3">
        <v>-12</v>
      </c>
    </row>
    <row r="104" spans="2:12" hidden="1" x14ac:dyDescent="0.25">
      <c r="B104" t="s">
        <v>41</v>
      </c>
      <c r="C104">
        <f t="shared" si="1"/>
        <v>11</v>
      </c>
      <c r="D104" t="s">
        <v>41</v>
      </c>
      <c r="E104" t="s">
        <v>41</v>
      </c>
      <c r="F104" t="s">
        <v>71</v>
      </c>
      <c r="G104" t="s">
        <v>72</v>
      </c>
      <c r="H104" t="s">
        <v>19</v>
      </c>
      <c r="I104" t="s">
        <v>20</v>
      </c>
      <c r="J104" t="s">
        <v>21</v>
      </c>
      <c r="K104">
        <v>1</v>
      </c>
      <c r="L104" s="3">
        <v>-10</v>
      </c>
    </row>
    <row r="105" spans="2:12" hidden="1" x14ac:dyDescent="0.25">
      <c r="B105" t="s">
        <v>15</v>
      </c>
      <c r="C105">
        <f t="shared" si="1"/>
        <v>11</v>
      </c>
      <c r="D105" t="s">
        <v>58</v>
      </c>
      <c r="E105" t="s">
        <v>58</v>
      </c>
      <c r="F105" t="s">
        <v>63</v>
      </c>
      <c r="G105" t="s">
        <v>64</v>
      </c>
      <c r="H105" t="s">
        <v>19</v>
      </c>
      <c r="I105" t="s">
        <v>20</v>
      </c>
      <c r="J105" t="s">
        <v>21</v>
      </c>
      <c r="K105">
        <v>1</v>
      </c>
      <c r="L105" s="3">
        <v>-24.39</v>
      </c>
    </row>
    <row r="106" spans="2:12" hidden="1" x14ac:dyDescent="0.25">
      <c r="B106" t="s">
        <v>221</v>
      </c>
      <c r="C106">
        <f t="shared" si="1"/>
        <v>12</v>
      </c>
      <c r="D106" t="s">
        <v>58</v>
      </c>
      <c r="E106" t="s">
        <v>58</v>
      </c>
      <c r="F106" t="s">
        <v>103</v>
      </c>
      <c r="G106" t="s">
        <v>381</v>
      </c>
      <c r="H106" t="s">
        <v>44</v>
      </c>
      <c r="I106" t="s">
        <v>20</v>
      </c>
      <c r="J106" t="s">
        <v>26</v>
      </c>
      <c r="K106">
        <v>0</v>
      </c>
      <c r="L106" s="3">
        <v>250</v>
      </c>
    </row>
    <row r="107" spans="2:12" hidden="1" x14ac:dyDescent="0.25">
      <c r="B107" t="s">
        <v>65</v>
      </c>
      <c r="C107">
        <f t="shared" si="1"/>
        <v>11</v>
      </c>
      <c r="D107" t="s">
        <v>58</v>
      </c>
      <c r="E107" t="s">
        <v>58</v>
      </c>
      <c r="F107" t="s">
        <v>66</v>
      </c>
      <c r="G107" t="s">
        <v>67</v>
      </c>
      <c r="H107" t="s">
        <v>19</v>
      </c>
      <c r="I107" t="s">
        <v>20</v>
      </c>
      <c r="J107" t="s">
        <v>21</v>
      </c>
      <c r="K107">
        <v>1</v>
      </c>
      <c r="L107" s="3">
        <v>-45</v>
      </c>
    </row>
    <row r="108" spans="2:12" hidden="1" x14ac:dyDescent="0.25">
      <c r="B108" t="s">
        <v>58</v>
      </c>
      <c r="C108">
        <f t="shared" si="1"/>
        <v>11</v>
      </c>
      <c r="D108" t="s">
        <v>58</v>
      </c>
      <c r="E108" t="s">
        <v>58</v>
      </c>
      <c r="F108" t="s">
        <v>36</v>
      </c>
      <c r="G108" t="s">
        <v>61</v>
      </c>
      <c r="H108" t="s">
        <v>62</v>
      </c>
      <c r="I108" t="s">
        <v>25</v>
      </c>
      <c r="J108" t="s">
        <v>21</v>
      </c>
      <c r="K108">
        <v>0</v>
      </c>
      <c r="L108" s="3">
        <v>-40</v>
      </c>
    </row>
    <row r="109" spans="2:12" hidden="1" x14ac:dyDescent="0.25">
      <c r="B109" t="s">
        <v>58</v>
      </c>
      <c r="C109">
        <f t="shared" si="1"/>
        <v>11</v>
      </c>
      <c r="D109" t="s">
        <v>58</v>
      </c>
      <c r="E109" t="s">
        <v>58</v>
      </c>
      <c r="F109" t="s">
        <v>68</v>
      </c>
      <c r="G109" t="s">
        <v>69</v>
      </c>
      <c r="H109" t="s">
        <v>47</v>
      </c>
      <c r="I109" t="s">
        <v>20</v>
      </c>
      <c r="J109" t="s">
        <v>21</v>
      </c>
      <c r="K109">
        <v>0</v>
      </c>
      <c r="L109" s="3">
        <v>-350</v>
      </c>
    </row>
    <row r="110" spans="2:12" hidden="1" x14ac:dyDescent="0.25">
      <c r="B110" t="s">
        <v>41</v>
      </c>
      <c r="C110">
        <f t="shared" si="1"/>
        <v>11</v>
      </c>
      <c r="D110" t="s">
        <v>58</v>
      </c>
      <c r="E110" t="s">
        <v>58</v>
      </c>
      <c r="F110" t="s">
        <v>59</v>
      </c>
      <c r="G110" t="s">
        <v>60</v>
      </c>
      <c r="H110" t="s">
        <v>44</v>
      </c>
      <c r="I110" t="s">
        <v>20</v>
      </c>
      <c r="J110" t="s">
        <v>26</v>
      </c>
      <c r="K110">
        <v>1</v>
      </c>
      <c r="L110" s="3">
        <v>3000</v>
      </c>
    </row>
    <row r="111" spans="2:12" hidden="1" x14ac:dyDescent="0.25">
      <c r="B111" t="s">
        <v>65</v>
      </c>
      <c r="C111">
        <f t="shared" si="1"/>
        <v>11</v>
      </c>
      <c r="D111" t="s">
        <v>58</v>
      </c>
      <c r="E111" t="s">
        <v>58</v>
      </c>
      <c r="F111" t="s">
        <v>63</v>
      </c>
      <c r="G111" t="s">
        <v>70</v>
      </c>
      <c r="H111" t="s">
        <v>19</v>
      </c>
      <c r="I111" t="s">
        <v>20</v>
      </c>
      <c r="J111" t="s">
        <v>21</v>
      </c>
      <c r="K111">
        <v>1</v>
      </c>
      <c r="L111" s="3">
        <v>-26.37</v>
      </c>
    </row>
    <row r="112" spans="2:12" hidden="1" x14ac:dyDescent="0.25">
      <c r="B112" t="s">
        <v>56</v>
      </c>
      <c r="C112">
        <f t="shared" si="1"/>
        <v>11</v>
      </c>
      <c r="D112" t="s">
        <v>56</v>
      </c>
      <c r="E112" t="s">
        <v>56</v>
      </c>
      <c r="F112" t="s">
        <v>48</v>
      </c>
      <c r="G112" t="s">
        <v>49</v>
      </c>
      <c r="H112" t="s">
        <v>57</v>
      </c>
      <c r="I112" t="s">
        <v>20</v>
      </c>
      <c r="J112" t="s">
        <v>21</v>
      </c>
      <c r="K112">
        <v>0</v>
      </c>
      <c r="L112" s="3">
        <v>-6000</v>
      </c>
    </row>
    <row r="113" spans="2:12" hidden="1" x14ac:dyDescent="0.25">
      <c r="B113" t="s">
        <v>52</v>
      </c>
      <c r="C113">
        <f t="shared" si="1"/>
        <v>11</v>
      </c>
      <c r="D113" t="s">
        <v>52</v>
      </c>
      <c r="E113" t="s">
        <v>52</v>
      </c>
      <c r="F113" t="s">
        <v>53</v>
      </c>
      <c r="G113" t="s">
        <v>54</v>
      </c>
      <c r="H113" t="s">
        <v>55</v>
      </c>
      <c r="I113" t="s">
        <v>20</v>
      </c>
      <c r="J113" t="s">
        <v>21</v>
      </c>
      <c r="K113">
        <v>1</v>
      </c>
      <c r="L113" s="3">
        <v>-101.86</v>
      </c>
    </row>
    <row r="114" spans="2:12" hidden="1" x14ac:dyDescent="0.25">
      <c r="B114" t="s">
        <v>35</v>
      </c>
      <c r="C114">
        <f t="shared" si="1"/>
        <v>11</v>
      </c>
      <c r="D114" t="s">
        <v>35</v>
      </c>
      <c r="E114" t="s">
        <v>35</v>
      </c>
      <c r="F114" t="s">
        <v>36</v>
      </c>
      <c r="G114" t="s">
        <v>37</v>
      </c>
      <c r="H114" t="s">
        <v>38</v>
      </c>
      <c r="I114" t="s">
        <v>25</v>
      </c>
      <c r="J114" t="s">
        <v>21</v>
      </c>
      <c r="K114">
        <v>0</v>
      </c>
      <c r="L114" s="3">
        <v>-19.899999999999999</v>
      </c>
    </row>
    <row r="115" spans="2:12" hidden="1" x14ac:dyDescent="0.25">
      <c r="B115" t="s">
        <v>35</v>
      </c>
      <c r="C115">
        <f t="shared" si="1"/>
        <v>11</v>
      </c>
      <c r="D115" t="s">
        <v>35</v>
      </c>
      <c r="E115" t="s">
        <v>35</v>
      </c>
      <c r="F115" t="s">
        <v>45</v>
      </c>
      <c r="G115" t="s">
        <v>46</v>
      </c>
      <c r="H115" t="s">
        <v>47</v>
      </c>
      <c r="I115" t="s">
        <v>25</v>
      </c>
      <c r="J115" t="s">
        <v>21</v>
      </c>
      <c r="K115">
        <v>0</v>
      </c>
      <c r="L115" s="3">
        <v>-2000</v>
      </c>
    </row>
    <row r="116" spans="2:12" hidden="1" x14ac:dyDescent="0.25">
      <c r="B116" t="s">
        <v>41</v>
      </c>
      <c r="C116">
        <f t="shared" si="1"/>
        <v>11</v>
      </c>
      <c r="D116" t="s">
        <v>35</v>
      </c>
      <c r="E116" t="s">
        <v>35</v>
      </c>
      <c r="F116" t="s">
        <v>42</v>
      </c>
      <c r="G116" t="s">
        <v>43</v>
      </c>
      <c r="H116" t="s">
        <v>44</v>
      </c>
      <c r="I116" t="s">
        <v>20</v>
      </c>
      <c r="J116" t="s">
        <v>26</v>
      </c>
      <c r="K116">
        <v>1</v>
      </c>
      <c r="L116" s="3">
        <v>2955</v>
      </c>
    </row>
    <row r="117" spans="2:12" hidden="1" x14ac:dyDescent="0.25">
      <c r="B117" t="s">
        <v>35</v>
      </c>
      <c r="C117">
        <f t="shared" si="1"/>
        <v>11</v>
      </c>
      <c r="D117" t="s">
        <v>35</v>
      </c>
      <c r="E117" t="s">
        <v>35</v>
      </c>
      <c r="F117" t="s">
        <v>45</v>
      </c>
      <c r="G117" t="s">
        <v>50</v>
      </c>
      <c r="H117" t="s">
        <v>51</v>
      </c>
      <c r="I117" t="s">
        <v>25</v>
      </c>
      <c r="J117" t="s">
        <v>26</v>
      </c>
      <c r="K117">
        <v>0</v>
      </c>
      <c r="L117" s="3">
        <v>500</v>
      </c>
    </row>
    <row r="118" spans="2:12" hidden="1" x14ac:dyDescent="0.25">
      <c r="B118" t="s">
        <v>30</v>
      </c>
      <c r="C118">
        <f t="shared" si="1"/>
        <v>11</v>
      </c>
      <c r="D118" t="s">
        <v>16</v>
      </c>
      <c r="E118" t="s">
        <v>16</v>
      </c>
      <c r="F118" t="s">
        <v>31</v>
      </c>
      <c r="G118" t="s">
        <v>32</v>
      </c>
      <c r="H118" t="s">
        <v>29</v>
      </c>
      <c r="I118" t="s">
        <v>20</v>
      </c>
      <c r="J118" t="s">
        <v>21</v>
      </c>
      <c r="K118">
        <v>2</v>
      </c>
      <c r="L118" s="3">
        <v>-70</v>
      </c>
    </row>
    <row r="119" spans="2:12" hidden="1" x14ac:dyDescent="0.25">
      <c r="B119" t="s">
        <v>15</v>
      </c>
      <c r="C119">
        <f t="shared" si="1"/>
        <v>11</v>
      </c>
      <c r="D119" t="s">
        <v>16</v>
      </c>
      <c r="E119" t="s">
        <v>16</v>
      </c>
      <c r="F119" t="s">
        <v>17</v>
      </c>
      <c r="G119" t="s">
        <v>18</v>
      </c>
      <c r="H119" t="s">
        <v>19</v>
      </c>
      <c r="I119" t="s">
        <v>20</v>
      </c>
      <c r="J119" t="s">
        <v>21</v>
      </c>
      <c r="K119">
        <v>1</v>
      </c>
      <c r="L119" s="3">
        <v>-52</v>
      </c>
    </row>
    <row r="120" spans="2:12" hidden="1" x14ac:dyDescent="0.25">
      <c r="B120" t="s">
        <v>16</v>
      </c>
      <c r="C120">
        <f t="shared" si="1"/>
        <v>11</v>
      </c>
      <c r="D120" t="s">
        <v>16</v>
      </c>
      <c r="E120" t="s">
        <v>16</v>
      </c>
      <c r="F120" t="s">
        <v>27</v>
      </c>
      <c r="G120" t="s">
        <v>28</v>
      </c>
      <c r="H120" t="s">
        <v>29</v>
      </c>
      <c r="I120" t="s">
        <v>20</v>
      </c>
      <c r="J120" t="s">
        <v>21</v>
      </c>
      <c r="K120">
        <v>1</v>
      </c>
      <c r="L120" s="3">
        <v>-34.799999999999997</v>
      </c>
    </row>
    <row r="121" spans="2:12" hidden="1" x14ac:dyDescent="0.25">
      <c r="B121" t="s">
        <v>221</v>
      </c>
      <c r="C121">
        <f t="shared" si="1"/>
        <v>12</v>
      </c>
      <c r="D121" t="s">
        <v>16</v>
      </c>
      <c r="E121" t="s">
        <v>16</v>
      </c>
      <c r="F121" t="s">
        <v>103</v>
      </c>
      <c r="G121" t="s">
        <v>381</v>
      </c>
      <c r="H121" t="s">
        <v>44</v>
      </c>
      <c r="I121" t="s">
        <v>20</v>
      </c>
      <c r="J121" t="s">
        <v>26</v>
      </c>
      <c r="K121">
        <v>0</v>
      </c>
      <c r="L121" s="3">
        <v>250</v>
      </c>
    </row>
    <row r="122" spans="2:12" hidden="1" x14ac:dyDescent="0.25">
      <c r="B122" t="s">
        <v>16</v>
      </c>
      <c r="C122">
        <f t="shared" si="1"/>
        <v>11</v>
      </c>
      <c r="D122" t="s">
        <v>16</v>
      </c>
      <c r="E122" t="s">
        <v>16</v>
      </c>
      <c r="F122" t="s">
        <v>33</v>
      </c>
      <c r="G122" t="s">
        <v>34</v>
      </c>
      <c r="H122" t="s">
        <v>19</v>
      </c>
      <c r="I122" t="s">
        <v>20</v>
      </c>
      <c r="J122" t="s">
        <v>21</v>
      </c>
      <c r="K122">
        <v>1</v>
      </c>
      <c r="L122" s="3">
        <v>-46</v>
      </c>
    </row>
    <row r="123" spans="2:12" hidden="1" x14ac:dyDescent="0.25">
      <c r="B123" t="s">
        <v>16</v>
      </c>
      <c r="C123">
        <f t="shared" si="1"/>
        <v>11</v>
      </c>
      <c r="D123" t="s">
        <v>16</v>
      </c>
      <c r="E123" t="s">
        <v>16</v>
      </c>
      <c r="F123" t="s">
        <v>22</v>
      </c>
      <c r="G123" t="s">
        <v>23</v>
      </c>
      <c r="H123" t="s">
        <v>24</v>
      </c>
      <c r="I123" t="s">
        <v>25</v>
      </c>
      <c r="J123" t="s">
        <v>26</v>
      </c>
      <c r="K123">
        <v>0</v>
      </c>
      <c r="L123" s="3">
        <v>13800</v>
      </c>
    </row>
    <row r="124" spans="2:12" hidden="1" x14ac:dyDescent="0.25">
      <c r="B124" t="s">
        <v>190</v>
      </c>
      <c r="C124">
        <f t="shared" si="1"/>
        <v>10</v>
      </c>
      <c r="D124" t="s">
        <v>190</v>
      </c>
      <c r="E124" t="s">
        <v>190</v>
      </c>
      <c r="F124" t="s">
        <v>31</v>
      </c>
      <c r="G124" t="s">
        <v>191</v>
      </c>
      <c r="H124" t="s">
        <v>29</v>
      </c>
      <c r="I124" t="s">
        <v>20</v>
      </c>
      <c r="J124" t="s">
        <v>21</v>
      </c>
      <c r="K124">
        <v>1</v>
      </c>
      <c r="L124" s="3">
        <v>-60</v>
      </c>
    </row>
    <row r="125" spans="2:12" hidden="1" x14ac:dyDescent="0.25">
      <c r="B125" t="s">
        <v>188</v>
      </c>
      <c r="C125">
        <f t="shared" si="1"/>
        <v>10</v>
      </c>
      <c r="D125" t="s">
        <v>188</v>
      </c>
      <c r="E125" t="s">
        <v>188</v>
      </c>
      <c r="F125" t="s">
        <v>189</v>
      </c>
      <c r="G125" t="s">
        <v>60</v>
      </c>
      <c r="H125" t="s">
        <v>44</v>
      </c>
      <c r="I125" t="s">
        <v>20</v>
      </c>
      <c r="J125" t="s">
        <v>26</v>
      </c>
      <c r="K125">
        <v>1</v>
      </c>
      <c r="L125" s="3">
        <v>3423.84</v>
      </c>
    </row>
    <row r="126" spans="2:12" x14ac:dyDescent="0.25">
      <c r="B126" t="s">
        <v>188</v>
      </c>
      <c r="C126">
        <f t="shared" ref="C126:C179" si="2">MONTH(B126)</f>
        <v>10</v>
      </c>
      <c r="D126" t="s">
        <v>188</v>
      </c>
      <c r="E126" t="s">
        <v>188</v>
      </c>
      <c r="F126" t="s">
        <v>189</v>
      </c>
      <c r="G126" t="s">
        <v>60</v>
      </c>
      <c r="H126" t="s">
        <v>481</v>
      </c>
      <c r="I126" t="s">
        <v>20</v>
      </c>
      <c r="J126" s="4" t="s">
        <v>21</v>
      </c>
      <c r="K126">
        <v>1</v>
      </c>
      <c r="L126" s="3">
        <v>-423.84</v>
      </c>
    </row>
    <row r="127" spans="2:12" hidden="1" x14ac:dyDescent="0.25">
      <c r="B127" t="s">
        <v>187</v>
      </c>
      <c r="C127">
        <f t="shared" si="2"/>
        <v>10</v>
      </c>
      <c r="D127" t="s">
        <v>187</v>
      </c>
      <c r="E127" t="s">
        <v>187</v>
      </c>
      <c r="F127" t="s">
        <v>174</v>
      </c>
      <c r="G127" t="s">
        <v>175</v>
      </c>
      <c r="H127" t="s">
        <v>29</v>
      </c>
      <c r="I127" t="s">
        <v>20</v>
      </c>
      <c r="J127" t="s">
        <v>21</v>
      </c>
      <c r="K127">
        <v>1</v>
      </c>
      <c r="L127" s="3">
        <v>-281.14999999999998</v>
      </c>
    </row>
    <row r="128" spans="2:12" hidden="1" x14ac:dyDescent="0.25">
      <c r="B128" t="s">
        <v>185</v>
      </c>
      <c r="C128">
        <f t="shared" si="2"/>
        <v>10</v>
      </c>
      <c r="D128" t="s">
        <v>185</v>
      </c>
      <c r="E128" t="s">
        <v>185</v>
      </c>
      <c r="F128" t="s">
        <v>63</v>
      </c>
      <c r="G128" t="s">
        <v>186</v>
      </c>
      <c r="H128" t="s">
        <v>19</v>
      </c>
      <c r="I128" t="s">
        <v>20</v>
      </c>
      <c r="J128" t="s">
        <v>21</v>
      </c>
      <c r="K128">
        <v>1</v>
      </c>
      <c r="L128" s="3">
        <v>-19.89</v>
      </c>
    </row>
    <row r="129" spans="2:12" hidden="1" x14ac:dyDescent="0.25">
      <c r="B129" t="s">
        <v>168</v>
      </c>
      <c r="C129">
        <f t="shared" si="2"/>
        <v>10</v>
      </c>
      <c r="D129" t="s">
        <v>168</v>
      </c>
      <c r="E129" t="s">
        <v>168</v>
      </c>
      <c r="F129" t="s">
        <v>103</v>
      </c>
      <c r="G129" t="s">
        <v>381</v>
      </c>
      <c r="H129" t="s">
        <v>44</v>
      </c>
      <c r="I129" t="s">
        <v>20</v>
      </c>
      <c r="J129" t="s">
        <v>26</v>
      </c>
      <c r="K129">
        <v>0</v>
      </c>
      <c r="L129" s="3">
        <v>50</v>
      </c>
    </row>
    <row r="130" spans="2:12" hidden="1" x14ac:dyDescent="0.25">
      <c r="B130" t="s">
        <v>184</v>
      </c>
      <c r="C130">
        <f t="shared" si="2"/>
        <v>10</v>
      </c>
      <c r="D130" t="s">
        <v>168</v>
      </c>
      <c r="E130" t="s">
        <v>168</v>
      </c>
      <c r="F130" t="s">
        <v>107</v>
      </c>
      <c r="G130" t="s">
        <v>162</v>
      </c>
      <c r="H130" t="s">
        <v>19</v>
      </c>
      <c r="I130" t="s">
        <v>20</v>
      </c>
      <c r="J130" t="s">
        <v>21</v>
      </c>
      <c r="K130">
        <v>1</v>
      </c>
      <c r="L130" s="3">
        <v>-9.9</v>
      </c>
    </row>
    <row r="131" spans="2:12" hidden="1" x14ac:dyDescent="0.25">
      <c r="B131" t="s">
        <v>181</v>
      </c>
      <c r="C131">
        <f t="shared" si="2"/>
        <v>10</v>
      </c>
      <c r="D131" t="s">
        <v>181</v>
      </c>
      <c r="E131" t="s">
        <v>181</v>
      </c>
      <c r="F131" t="s">
        <v>182</v>
      </c>
      <c r="G131" t="s">
        <v>89</v>
      </c>
      <c r="H131" t="s">
        <v>183</v>
      </c>
      <c r="I131" t="s">
        <v>20</v>
      </c>
      <c r="J131" t="s">
        <v>21</v>
      </c>
      <c r="K131">
        <v>1</v>
      </c>
      <c r="L131" s="3">
        <v>-29.82</v>
      </c>
    </row>
    <row r="132" spans="2:12" hidden="1" x14ac:dyDescent="0.25">
      <c r="B132" t="s">
        <v>172</v>
      </c>
      <c r="C132">
        <f t="shared" si="2"/>
        <v>10</v>
      </c>
      <c r="D132" t="s">
        <v>172</v>
      </c>
      <c r="E132" t="s">
        <v>172</v>
      </c>
      <c r="F132" t="s">
        <v>127</v>
      </c>
      <c r="G132" t="s">
        <v>128</v>
      </c>
      <c r="H132" t="s">
        <v>79</v>
      </c>
      <c r="I132" t="s">
        <v>20</v>
      </c>
      <c r="J132" t="s">
        <v>21</v>
      </c>
      <c r="K132">
        <v>1</v>
      </c>
      <c r="L132" s="3">
        <v>-1500</v>
      </c>
    </row>
    <row r="133" spans="2:12" hidden="1" x14ac:dyDescent="0.25">
      <c r="B133" t="s">
        <v>172</v>
      </c>
      <c r="C133">
        <f t="shared" si="2"/>
        <v>10</v>
      </c>
      <c r="D133" t="s">
        <v>172</v>
      </c>
      <c r="E133" t="s">
        <v>172</v>
      </c>
      <c r="F133" t="s">
        <v>129</v>
      </c>
      <c r="G133" t="s">
        <v>130</v>
      </c>
      <c r="H133" t="s">
        <v>79</v>
      </c>
      <c r="I133" t="s">
        <v>20</v>
      </c>
      <c r="J133" t="s">
        <v>21</v>
      </c>
      <c r="K133">
        <v>0</v>
      </c>
      <c r="L133" s="3">
        <v>-550</v>
      </c>
    </row>
    <row r="134" spans="2:12" hidden="1" x14ac:dyDescent="0.25">
      <c r="B134" t="s">
        <v>172</v>
      </c>
      <c r="C134">
        <f t="shared" si="2"/>
        <v>10</v>
      </c>
      <c r="D134" t="s">
        <v>172</v>
      </c>
      <c r="E134" t="s">
        <v>172</v>
      </c>
      <c r="F134" t="s">
        <v>131</v>
      </c>
      <c r="G134" t="s">
        <v>128</v>
      </c>
      <c r="H134" t="s">
        <v>79</v>
      </c>
      <c r="I134" t="s">
        <v>20</v>
      </c>
      <c r="J134" t="s">
        <v>21</v>
      </c>
      <c r="K134">
        <v>1</v>
      </c>
      <c r="L134" s="3">
        <v>-1500</v>
      </c>
    </row>
    <row r="135" spans="2:12" hidden="1" x14ac:dyDescent="0.25">
      <c r="B135" t="s">
        <v>179</v>
      </c>
      <c r="C135">
        <f t="shared" si="2"/>
        <v>10</v>
      </c>
      <c r="D135" t="s">
        <v>179</v>
      </c>
      <c r="E135" t="s">
        <v>179</v>
      </c>
      <c r="F135" t="s">
        <v>118</v>
      </c>
      <c r="G135" t="s">
        <v>180</v>
      </c>
      <c r="H135" t="s">
        <v>19</v>
      </c>
      <c r="I135" t="s">
        <v>20</v>
      </c>
      <c r="J135" t="s">
        <v>21</v>
      </c>
      <c r="K135">
        <v>1</v>
      </c>
      <c r="L135" s="3">
        <v>-77.849999999999994</v>
      </c>
    </row>
    <row r="136" spans="2:12" hidden="1" x14ac:dyDescent="0.25">
      <c r="B136" t="s">
        <v>176</v>
      </c>
      <c r="C136">
        <f t="shared" si="2"/>
        <v>10</v>
      </c>
      <c r="D136" t="s">
        <v>176</v>
      </c>
      <c r="E136" t="s">
        <v>176</v>
      </c>
      <c r="F136" t="s">
        <v>177</v>
      </c>
      <c r="G136" t="s">
        <v>178</v>
      </c>
      <c r="H136" t="s">
        <v>19</v>
      </c>
      <c r="I136" t="s">
        <v>20</v>
      </c>
      <c r="J136" t="s">
        <v>21</v>
      </c>
      <c r="K136">
        <v>1</v>
      </c>
      <c r="L136" s="3">
        <v>-6.95</v>
      </c>
    </row>
    <row r="137" spans="2:12" hidden="1" x14ac:dyDescent="0.25">
      <c r="B137" t="s">
        <v>172</v>
      </c>
      <c r="C137">
        <f t="shared" si="2"/>
        <v>10</v>
      </c>
      <c r="D137" t="s">
        <v>170</v>
      </c>
      <c r="E137" t="s">
        <v>170</v>
      </c>
      <c r="F137" t="s">
        <v>173</v>
      </c>
      <c r="G137" t="s">
        <v>89</v>
      </c>
      <c r="H137" t="s">
        <v>55</v>
      </c>
      <c r="I137" t="s">
        <v>20</v>
      </c>
      <c r="J137" t="s">
        <v>21</v>
      </c>
      <c r="K137">
        <v>1</v>
      </c>
      <c r="L137" s="3">
        <v>-28.6</v>
      </c>
    </row>
    <row r="138" spans="2:12" hidden="1" x14ac:dyDescent="0.25">
      <c r="B138" t="s">
        <v>170</v>
      </c>
      <c r="C138">
        <f t="shared" si="2"/>
        <v>10</v>
      </c>
      <c r="D138" t="s">
        <v>170</v>
      </c>
      <c r="E138" t="s">
        <v>170</v>
      </c>
      <c r="F138" t="s">
        <v>174</v>
      </c>
      <c r="G138" t="s">
        <v>175</v>
      </c>
      <c r="H138" t="s">
        <v>29</v>
      </c>
      <c r="I138" t="s">
        <v>25</v>
      </c>
      <c r="J138" t="s">
        <v>21</v>
      </c>
      <c r="K138">
        <v>0</v>
      </c>
      <c r="L138" s="3">
        <v>-400</v>
      </c>
    </row>
    <row r="139" spans="2:12" hidden="1" x14ac:dyDescent="0.25">
      <c r="B139" t="s">
        <v>170</v>
      </c>
      <c r="C139">
        <f t="shared" si="2"/>
        <v>10</v>
      </c>
      <c r="D139" t="s">
        <v>170</v>
      </c>
      <c r="E139" t="s">
        <v>170</v>
      </c>
      <c r="F139" t="s">
        <v>107</v>
      </c>
      <c r="G139" t="s">
        <v>171</v>
      </c>
      <c r="H139" t="s">
        <v>19</v>
      </c>
      <c r="I139" t="s">
        <v>20</v>
      </c>
      <c r="J139" t="s">
        <v>21</v>
      </c>
      <c r="K139">
        <v>1</v>
      </c>
      <c r="L139" s="3">
        <v>-9.9</v>
      </c>
    </row>
    <row r="140" spans="2:12" hidden="1" x14ac:dyDescent="0.25">
      <c r="B140" t="s">
        <v>168</v>
      </c>
      <c r="C140">
        <f t="shared" si="2"/>
        <v>10</v>
      </c>
      <c r="D140" t="s">
        <v>169</v>
      </c>
      <c r="E140" t="s">
        <v>169</v>
      </c>
      <c r="F140" t="s">
        <v>103</v>
      </c>
      <c r="G140" t="s">
        <v>381</v>
      </c>
      <c r="H140" t="s">
        <v>44</v>
      </c>
      <c r="I140" t="s">
        <v>20</v>
      </c>
      <c r="J140" t="s">
        <v>26</v>
      </c>
      <c r="K140">
        <v>0</v>
      </c>
      <c r="L140" s="3">
        <v>250</v>
      </c>
    </row>
    <row r="141" spans="2:12" hidden="1" x14ac:dyDescent="0.25">
      <c r="B141" t="s">
        <v>167</v>
      </c>
      <c r="C141">
        <f t="shared" si="2"/>
        <v>10</v>
      </c>
      <c r="D141" t="s">
        <v>167</v>
      </c>
      <c r="E141" t="s">
        <v>167</v>
      </c>
      <c r="F141" t="s">
        <v>107</v>
      </c>
      <c r="G141" t="s">
        <v>165</v>
      </c>
      <c r="H141" t="s">
        <v>19</v>
      </c>
      <c r="I141" t="s">
        <v>20</v>
      </c>
      <c r="J141" t="s">
        <v>21</v>
      </c>
      <c r="K141">
        <v>1</v>
      </c>
      <c r="L141" s="3">
        <v>-37.47</v>
      </c>
    </row>
    <row r="142" spans="2:12" hidden="1" x14ac:dyDescent="0.25">
      <c r="B142" t="s">
        <v>163</v>
      </c>
      <c r="C142">
        <f t="shared" si="2"/>
        <v>10</v>
      </c>
      <c r="D142" t="s">
        <v>163</v>
      </c>
      <c r="E142" t="s">
        <v>163</v>
      </c>
      <c r="F142" t="s">
        <v>68</v>
      </c>
      <c r="G142" t="s">
        <v>166</v>
      </c>
      <c r="H142" t="s">
        <v>47</v>
      </c>
      <c r="I142" t="s">
        <v>20</v>
      </c>
      <c r="J142" t="s">
        <v>21</v>
      </c>
      <c r="K142">
        <v>0</v>
      </c>
      <c r="L142" s="3">
        <v>-350</v>
      </c>
    </row>
    <row r="143" spans="2:12" hidden="1" x14ac:dyDescent="0.25">
      <c r="B143" t="s">
        <v>163</v>
      </c>
      <c r="C143">
        <f t="shared" si="2"/>
        <v>10</v>
      </c>
      <c r="D143" t="s">
        <v>163</v>
      </c>
      <c r="E143" t="s">
        <v>163</v>
      </c>
      <c r="F143" t="s">
        <v>164</v>
      </c>
      <c r="G143" t="s">
        <v>165</v>
      </c>
      <c r="H143" t="s">
        <v>19</v>
      </c>
      <c r="I143" t="s">
        <v>20</v>
      </c>
      <c r="J143" t="s">
        <v>21</v>
      </c>
      <c r="K143">
        <v>1</v>
      </c>
      <c r="L143" s="3">
        <v>-46.58</v>
      </c>
    </row>
    <row r="144" spans="2:12" hidden="1" x14ac:dyDescent="0.25">
      <c r="B144" t="s">
        <v>163</v>
      </c>
      <c r="C144">
        <f t="shared" si="2"/>
        <v>10</v>
      </c>
      <c r="D144" t="s">
        <v>163</v>
      </c>
      <c r="E144" t="s">
        <v>163</v>
      </c>
      <c r="F144" t="s">
        <v>36</v>
      </c>
      <c r="G144" t="s">
        <v>61</v>
      </c>
      <c r="H144" t="s">
        <v>62</v>
      </c>
      <c r="I144" t="s">
        <v>25</v>
      </c>
      <c r="J144" t="s">
        <v>21</v>
      </c>
      <c r="K144">
        <v>0</v>
      </c>
      <c r="L144" s="3">
        <v>-40</v>
      </c>
    </row>
    <row r="145" spans="2:12" hidden="1" x14ac:dyDescent="0.25">
      <c r="B145" t="s">
        <v>225</v>
      </c>
      <c r="C145">
        <f t="shared" si="2"/>
        <v>8</v>
      </c>
      <c r="D145" t="s">
        <v>161</v>
      </c>
      <c r="E145" t="s">
        <v>161</v>
      </c>
      <c r="F145" t="s">
        <v>305</v>
      </c>
      <c r="G145" t="s">
        <v>402</v>
      </c>
      <c r="H145" t="s">
        <v>29</v>
      </c>
      <c r="I145" t="s">
        <v>20</v>
      </c>
      <c r="J145" t="s">
        <v>21</v>
      </c>
      <c r="K145">
        <v>0</v>
      </c>
      <c r="L145" s="3">
        <v>-52.6</v>
      </c>
    </row>
    <row r="146" spans="2:12" hidden="1" x14ac:dyDescent="0.25">
      <c r="B146" t="s">
        <v>161</v>
      </c>
      <c r="C146">
        <f t="shared" si="2"/>
        <v>10</v>
      </c>
      <c r="D146" t="s">
        <v>161</v>
      </c>
      <c r="E146" t="s">
        <v>161</v>
      </c>
      <c r="F146" t="s">
        <v>107</v>
      </c>
      <c r="G146" t="s">
        <v>162</v>
      </c>
      <c r="H146" t="s">
        <v>19</v>
      </c>
      <c r="I146" t="s">
        <v>25</v>
      </c>
      <c r="J146" t="s">
        <v>21</v>
      </c>
      <c r="K146">
        <v>1</v>
      </c>
      <c r="L146" s="3">
        <v>-20.89</v>
      </c>
    </row>
    <row r="147" spans="2:12" hidden="1" x14ac:dyDescent="0.25">
      <c r="B147" t="s">
        <v>157</v>
      </c>
      <c r="C147">
        <f t="shared" si="2"/>
        <v>10</v>
      </c>
      <c r="D147" t="s">
        <v>157</v>
      </c>
      <c r="E147" t="s">
        <v>157</v>
      </c>
      <c r="F147" t="s">
        <v>39</v>
      </c>
      <c r="G147" t="s">
        <v>40</v>
      </c>
      <c r="H147" t="s">
        <v>57</v>
      </c>
      <c r="I147" t="s">
        <v>20</v>
      </c>
      <c r="J147" t="s">
        <v>21</v>
      </c>
      <c r="K147">
        <v>0</v>
      </c>
      <c r="L147" s="3">
        <v>-3069</v>
      </c>
    </row>
    <row r="148" spans="2:12" hidden="1" x14ac:dyDescent="0.25">
      <c r="B148" t="s">
        <v>161</v>
      </c>
      <c r="C148">
        <f t="shared" si="2"/>
        <v>10</v>
      </c>
      <c r="D148" t="s">
        <v>157</v>
      </c>
      <c r="E148" t="s">
        <v>157</v>
      </c>
      <c r="F148" t="s">
        <v>103</v>
      </c>
      <c r="G148" t="s">
        <v>381</v>
      </c>
      <c r="H148" t="s">
        <v>44</v>
      </c>
      <c r="I148" t="s">
        <v>20</v>
      </c>
      <c r="J148" t="s">
        <v>26</v>
      </c>
      <c r="K148">
        <v>0</v>
      </c>
      <c r="L148" s="3">
        <v>300</v>
      </c>
    </row>
    <row r="149" spans="2:12" hidden="1" x14ac:dyDescent="0.25">
      <c r="B149" t="s">
        <v>157</v>
      </c>
      <c r="C149">
        <f t="shared" si="2"/>
        <v>10</v>
      </c>
      <c r="D149" t="s">
        <v>157</v>
      </c>
      <c r="E149" t="s">
        <v>157</v>
      </c>
      <c r="F149" t="s">
        <v>48</v>
      </c>
      <c r="G149" t="s">
        <v>158</v>
      </c>
      <c r="H149" t="s">
        <v>57</v>
      </c>
      <c r="I149" t="s">
        <v>20</v>
      </c>
      <c r="J149" t="s">
        <v>21</v>
      </c>
      <c r="K149">
        <v>0</v>
      </c>
      <c r="L149" s="3">
        <v>-2931</v>
      </c>
    </row>
    <row r="150" spans="2:12" hidden="1" x14ac:dyDescent="0.25">
      <c r="B150" t="s">
        <v>157</v>
      </c>
      <c r="C150">
        <f t="shared" si="2"/>
        <v>10</v>
      </c>
      <c r="D150" t="s">
        <v>157</v>
      </c>
      <c r="E150" t="s">
        <v>157</v>
      </c>
      <c r="F150" t="s">
        <v>36</v>
      </c>
      <c r="G150" t="s">
        <v>37</v>
      </c>
      <c r="H150" t="s">
        <v>62</v>
      </c>
      <c r="I150" t="s">
        <v>25</v>
      </c>
      <c r="J150" t="s">
        <v>21</v>
      </c>
      <c r="K150">
        <v>0</v>
      </c>
      <c r="L150" s="3">
        <v>-19.899999999999999</v>
      </c>
    </row>
    <row r="151" spans="2:12" hidden="1" x14ac:dyDescent="0.25">
      <c r="B151" t="s">
        <v>159</v>
      </c>
      <c r="C151">
        <f t="shared" si="2"/>
        <v>10</v>
      </c>
      <c r="D151" t="s">
        <v>157</v>
      </c>
      <c r="E151" t="s">
        <v>157</v>
      </c>
      <c r="F151" t="s">
        <v>22</v>
      </c>
      <c r="G151" t="s">
        <v>160</v>
      </c>
      <c r="H151" t="s">
        <v>24</v>
      </c>
      <c r="I151" t="s">
        <v>25</v>
      </c>
      <c r="J151" t="s">
        <v>26</v>
      </c>
      <c r="K151">
        <v>0</v>
      </c>
      <c r="L151" s="3">
        <v>13800</v>
      </c>
    </row>
    <row r="152" spans="2:12" hidden="1" x14ac:dyDescent="0.25">
      <c r="B152" t="s">
        <v>154</v>
      </c>
      <c r="C152">
        <f t="shared" si="2"/>
        <v>10</v>
      </c>
      <c r="D152" t="s">
        <v>154</v>
      </c>
      <c r="E152" t="s">
        <v>154</v>
      </c>
      <c r="F152" t="s">
        <v>155</v>
      </c>
      <c r="G152" t="s">
        <v>156</v>
      </c>
      <c r="H152" t="s">
        <v>47</v>
      </c>
      <c r="I152" t="s">
        <v>20</v>
      </c>
      <c r="J152" t="s">
        <v>21</v>
      </c>
      <c r="K152">
        <v>0</v>
      </c>
      <c r="L152" s="3">
        <v>-500</v>
      </c>
    </row>
    <row r="153" spans="2:12" hidden="1" x14ac:dyDescent="0.25">
      <c r="B153" t="s">
        <v>152</v>
      </c>
      <c r="C153">
        <f t="shared" si="2"/>
        <v>10</v>
      </c>
      <c r="D153" t="s">
        <v>152</v>
      </c>
      <c r="E153" t="s">
        <v>152</v>
      </c>
      <c r="F153" t="s">
        <v>53</v>
      </c>
      <c r="G153" t="s">
        <v>153</v>
      </c>
      <c r="H153" t="s">
        <v>19</v>
      </c>
      <c r="I153" t="s">
        <v>20</v>
      </c>
      <c r="J153" t="s">
        <v>21</v>
      </c>
      <c r="K153">
        <v>1</v>
      </c>
      <c r="L153" s="3">
        <v>-36</v>
      </c>
    </row>
    <row r="154" spans="2:12" hidden="1" x14ac:dyDescent="0.25">
      <c r="B154" t="s">
        <v>146</v>
      </c>
      <c r="C154">
        <f t="shared" si="2"/>
        <v>10</v>
      </c>
      <c r="D154" t="s">
        <v>146</v>
      </c>
      <c r="E154" t="s">
        <v>146</v>
      </c>
      <c r="F154" t="s">
        <v>149</v>
      </c>
      <c r="G154" t="s">
        <v>150</v>
      </c>
      <c r="H154" t="s">
        <v>151</v>
      </c>
      <c r="I154" t="s">
        <v>20</v>
      </c>
      <c r="J154" t="s">
        <v>26</v>
      </c>
      <c r="K154">
        <v>0</v>
      </c>
      <c r="L154" s="3">
        <v>250</v>
      </c>
    </row>
    <row r="155" spans="2:12" hidden="1" x14ac:dyDescent="0.25">
      <c r="B155" t="s">
        <v>146</v>
      </c>
      <c r="C155">
        <f t="shared" si="2"/>
        <v>10</v>
      </c>
      <c r="D155" t="s">
        <v>139</v>
      </c>
      <c r="E155" t="s">
        <v>139</v>
      </c>
      <c r="F155" t="s">
        <v>147</v>
      </c>
      <c r="G155" t="s">
        <v>148</v>
      </c>
      <c r="H155" t="s">
        <v>482</v>
      </c>
      <c r="I155" t="s">
        <v>20</v>
      </c>
      <c r="J155" t="s">
        <v>26</v>
      </c>
      <c r="K155">
        <v>0</v>
      </c>
      <c r="L155" s="3">
        <v>2800</v>
      </c>
    </row>
    <row r="156" spans="2:12" hidden="1" x14ac:dyDescent="0.25">
      <c r="B156" t="s">
        <v>139</v>
      </c>
      <c r="C156">
        <f t="shared" si="2"/>
        <v>10</v>
      </c>
      <c r="D156" t="s">
        <v>143</v>
      </c>
      <c r="E156" t="s">
        <v>143</v>
      </c>
      <c r="F156" t="s">
        <v>144</v>
      </c>
      <c r="G156" t="s">
        <v>145</v>
      </c>
      <c r="H156" t="s">
        <v>19</v>
      </c>
      <c r="I156" t="s">
        <v>20</v>
      </c>
      <c r="J156" t="s">
        <v>21</v>
      </c>
      <c r="K156">
        <v>1</v>
      </c>
      <c r="L156" s="3">
        <v>-33.4</v>
      </c>
    </row>
    <row r="157" spans="2:12" hidden="1" x14ac:dyDescent="0.25">
      <c r="B157" t="s">
        <v>226</v>
      </c>
      <c r="C157">
        <f t="shared" si="2"/>
        <v>9</v>
      </c>
      <c r="D157" t="s">
        <v>227</v>
      </c>
      <c r="E157" t="s">
        <v>227</v>
      </c>
      <c r="F157" t="s">
        <v>103</v>
      </c>
      <c r="G157" t="s">
        <v>381</v>
      </c>
      <c r="H157" t="s">
        <v>44</v>
      </c>
      <c r="I157" t="s">
        <v>20</v>
      </c>
      <c r="J157" t="s">
        <v>26</v>
      </c>
      <c r="K157">
        <v>0</v>
      </c>
      <c r="L157" s="3">
        <v>350</v>
      </c>
    </row>
    <row r="158" spans="2:12" hidden="1" x14ac:dyDescent="0.25">
      <c r="B158" t="s">
        <v>139</v>
      </c>
      <c r="C158">
        <f t="shared" si="2"/>
        <v>10</v>
      </c>
      <c r="D158" t="s">
        <v>140</v>
      </c>
      <c r="E158" t="s">
        <v>140</v>
      </c>
      <c r="F158" t="s">
        <v>141</v>
      </c>
      <c r="G158" t="s">
        <v>142</v>
      </c>
      <c r="H158" t="s">
        <v>19</v>
      </c>
      <c r="I158" t="s">
        <v>20</v>
      </c>
      <c r="J158" t="s">
        <v>21</v>
      </c>
      <c r="K158">
        <v>1</v>
      </c>
      <c r="L158" s="3">
        <v>-10.07</v>
      </c>
    </row>
    <row r="159" spans="2:12" hidden="1" x14ac:dyDescent="0.25">
      <c r="B159" t="s">
        <v>140</v>
      </c>
      <c r="C159">
        <f t="shared" si="2"/>
        <v>9</v>
      </c>
      <c r="D159" t="s">
        <v>140</v>
      </c>
      <c r="E159" t="s">
        <v>140</v>
      </c>
      <c r="F159" t="s">
        <v>107</v>
      </c>
      <c r="G159" t="s">
        <v>403</v>
      </c>
      <c r="H159" t="s">
        <v>19</v>
      </c>
      <c r="I159" t="s">
        <v>20</v>
      </c>
      <c r="J159" t="s">
        <v>21</v>
      </c>
      <c r="K159">
        <v>1</v>
      </c>
      <c r="L159" s="3">
        <v>-36.74</v>
      </c>
    </row>
    <row r="160" spans="2:12" hidden="1" x14ac:dyDescent="0.25">
      <c r="B160" t="s">
        <v>227</v>
      </c>
      <c r="C160">
        <f t="shared" si="2"/>
        <v>9</v>
      </c>
      <c r="D160" t="s">
        <v>228</v>
      </c>
      <c r="E160" t="s">
        <v>228</v>
      </c>
      <c r="F160" t="s">
        <v>45</v>
      </c>
      <c r="G160" t="s">
        <v>145</v>
      </c>
      <c r="H160" t="s">
        <v>19</v>
      </c>
      <c r="I160" t="s">
        <v>20</v>
      </c>
      <c r="J160" t="s">
        <v>21</v>
      </c>
      <c r="K160">
        <v>1</v>
      </c>
      <c r="L160" s="3">
        <v>-53.89</v>
      </c>
    </row>
    <row r="161" spans="2:12" hidden="1" x14ac:dyDescent="0.25">
      <c r="B161" t="s">
        <v>228</v>
      </c>
      <c r="C161">
        <f t="shared" si="2"/>
        <v>9</v>
      </c>
      <c r="D161" t="s">
        <v>228</v>
      </c>
      <c r="E161" t="s">
        <v>228</v>
      </c>
      <c r="F161" t="s">
        <v>118</v>
      </c>
      <c r="G161" t="s">
        <v>119</v>
      </c>
      <c r="H161" t="s">
        <v>19</v>
      </c>
      <c r="I161" t="s">
        <v>20</v>
      </c>
      <c r="J161" t="s">
        <v>21</v>
      </c>
      <c r="K161">
        <v>1</v>
      </c>
      <c r="L161" s="3">
        <v>-85.07</v>
      </c>
    </row>
    <row r="162" spans="2:12" hidden="1" x14ac:dyDescent="0.25">
      <c r="B162" t="s">
        <v>228</v>
      </c>
      <c r="C162">
        <f t="shared" si="2"/>
        <v>9</v>
      </c>
      <c r="D162" t="s">
        <v>228</v>
      </c>
      <c r="E162" t="s">
        <v>228</v>
      </c>
      <c r="F162" t="s">
        <v>306</v>
      </c>
      <c r="G162" t="s">
        <v>404</v>
      </c>
      <c r="H162" t="s">
        <v>47</v>
      </c>
      <c r="I162" t="s">
        <v>25</v>
      </c>
      <c r="J162" t="s">
        <v>21</v>
      </c>
      <c r="K162">
        <v>1</v>
      </c>
      <c r="L162" s="3">
        <v>-935</v>
      </c>
    </row>
    <row r="163" spans="2:12" hidden="1" x14ac:dyDescent="0.25">
      <c r="B163" t="s">
        <v>229</v>
      </c>
      <c r="C163">
        <f t="shared" si="2"/>
        <v>9</v>
      </c>
      <c r="D163" t="s">
        <v>229</v>
      </c>
      <c r="E163" t="s">
        <v>229</v>
      </c>
      <c r="F163" t="s">
        <v>45</v>
      </c>
      <c r="G163" t="s">
        <v>145</v>
      </c>
      <c r="H163" t="s">
        <v>19</v>
      </c>
      <c r="I163" t="s">
        <v>20</v>
      </c>
      <c r="J163" t="s">
        <v>21</v>
      </c>
      <c r="K163">
        <v>1</v>
      </c>
      <c r="L163" s="3">
        <v>-131.79</v>
      </c>
    </row>
    <row r="164" spans="2:12" hidden="1" x14ac:dyDescent="0.25">
      <c r="B164" t="s">
        <v>229</v>
      </c>
      <c r="C164">
        <f t="shared" si="2"/>
        <v>9</v>
      </c>
      <c r="D164" t="s">
        <v>229</v>
      </c>
      <c r="E164" t="s">
        <v>229</v>
      </c>
      <c r="F164" t="s">
        <v>22</v>
      </c>
      <c r="G164" t="s">
        <v>405</v>
      </c>
      <c r="H164" t="s">
        <v>151</v>
      </c>
      <c r="I164" t="s">
        <v>20</v>
      </c>
      <c r="J164" t="s">
        <v>26</v>
      </c>
      <c r="K164">
        <v>0</v>
      </c>
      <c r="L164" s="3">
        <v>250</v>
      </c>
    </row>
    <row r="165" spans="2:12" hidden="1" x14ac:dyDescent="0.25">
      <c r="B165" t="s">
        <v>229</v>
      </c>
      <c r="C165">
        <f t="shared" si="2"/>
        <v>9</v>
      </c>
      <c r="D165" t="s">
        <v>229</v>
      </c>
      <c r="E165" t="s">
        <v>229</v>
      </c>
      <c r="F165" t="s">
        <v>307</v>
      </c>
      <c r="G165" t="s">
        <v>406</v>
      </c>
      <c r="H165" t="s">
        <v>151</v>
      </c>
      <c r="I165" t="s">
        <v>25</v>
      </c>
      <c r="J165" t="s">
        <v>26</v>
      </c>
      <c r="K165">
        <v>0</v>
      </c>
      <c r="L165" s="3">
        <v>250</v>
      </c>
    </row>
    <row r="166" spans="2:12" hidden="1" x14ac:dyDescent="0.25">
      <c r="B166" t="s">
        <v>229</v>
      </c>
      <c r="C166">
        <f t="shared" si="2"/>
        <v>9</v>
      </c>
      <c r="D166" t="s">
        <v>229</v>
      </c>
      <c r="E166" t="s">
        <v>229</v>
      </c>
      <c r="F166" t="s">
        <v>308</v>
      </c>
      <c r="G166" t="s">
        <v>406</v>
      </c>
      <c r="H166" t="s">
        <v>151</v>
      </c>
      <c r="I166" t="s">
        <v>25</v>
      </c>
      <c r="J166" t="s">
        <v>26</v>
      </c>
      <c r="K166">
        <v>0</v>
      </c>
      <c r="L166" s="3">
        <v>250</v>
      </c>
    </row>
    <row r="167" spans="2:12" hidden="1" x14ac:dyDescent="0.25">
      <c r="B167" t="s">
        <v>229</v>
      </c>
      <c r="C167">
        <f t="shared" si="2"/>
        <v>9</v>
      </c>
      <c r="D167" t="s">
        <v>229</v>
      </c>
      <c r="E167" t="s">
        <v>229</v>
      </c>
      <c r="F167" t="s">
        <v>309</v>
      </c>
      <c r="G167" t="s">
        <v>407</v>
      </c>
      <c r="H167" t="s">
        <v>151</v>
      </c>
      <c r="I167" t="s">
        <v>25</v>
      </c>
      <c r="J167" t="s">
        <v>26</v>
      </c>
      <c r="K167">
        <v>0</v>
      </c>
      <c r="L167" s="3">
        <v>250</v>
      </c>
    </row>
    <row r="168" spans="2:12" hidden="1" x14ac:dyDescent="0.25">
      <c r="B168" t="s">
        <v>230</v>
      </c>
      <c r="C168">
        <f t="shared" si="2"/>
        <v>9</v>
      </c>
      <c r="D168" t="s">
        <v>232</v>
      </c>
      <c r="E168" t="s">
        <v>230</v>
      </c>
      <c r="F168" t="s">
        <v>127</v>
      </c>
      <c r="G168" t="s">
        <v>128</v>
      </c>
      <c r="H168" t="s">
        <v>79</v>
      </c>
      <c r="I168" t="s">
        <v>20</v>
      </c>
      <c r="J168" t="s">
        <v>21</v>
      </c>
      <c r="K168">
        <v>1</v>
      </c>
      <c r="L168" s="3">
        <v>-1500</v>
      </c>
    </row>
    <row r="169" spans="2:12" hidden="1" x14ac:dyDescent="0.25">
      <c r="B169" t="s">
        <v>230</v>
      </c>
      <c r="C169">
        <f t="shared" si="2"/>
        <v>9</v>
      </c>
      <c r="D169" t="s">
        <v>230</v>
      </c>
      <c r="E169" t="s">
        <v>230</v>
      </c>
      <c r="F169" t="s">
        <v>310</v>
      </c>
      <c r="G169" t="s">
        <v>408</v>
      </c>
      <c r="H169" t="s">
        <v>480</v>
      </c>
      <c r="I169" t="s">
        <v>20</v>
      </c>
      <c r="J169" t="s">
        <v>21</v>
      </c>
      <c r="K169">
        <v>1</v>
      </c>
      <c r="L169" s="3">
        <v>-199.98</v>
      </c>
    </row>
    <row r="170" spans="2:12" hidden="1" x14ac:dyDescent="0.25">
      <c r="B170" t="s">
        <v>231</v>
      </c>
      <c r="C170">
        <f t="shared" si="2"/>
        <v>9</v>
      </c>
      <c r="D170" t="s">
        <v>230</v>
      </c>
      <c r="E170" t="s">
        <v>230</v>
      </c>
      <c r="F170" t="s">
        <v>103</v>
      </c>
      <c r="G170" t="s">
        <v>381</v>
      </c>
      <c r="H170" t="s">
        <v>44</v>
      </c>
      <c r="I170" t="s">
        <v>20</v>
      </c>
      <c r="J170" t="s">
        <v>26</v>
      </c>
      <c r="K170">
        <v>0</v>
      </c>
      <c r="L170" s="3">
        <v>300</v>
      </c>
    </row>
    <row r="171" spans="2:12" hidden="1" x14ac:dyDescent="0.25">
      <c r="B171" t="s">
        <v>230</v>
      </c>
      <c r="C171">
        <f t="shared" si="2"/>
        <v>9</v>
      </c>
      <c r="D171" t="s">
        <v>230</v>
      </c>
      <c r="E171" t="s">
        <v>230</v>
      </c>
      <c r="F171" t="s">
        <v>311</v>
      </c>
      <c r="G171" t="s">
        <v>409</v>
      </c>
      <c r="H171" t="s">
        <v>151</v>
      </c>
      <c r="I171" t="s">
        <v>25</v>
      </c>
      <c r="J171" t="s">
        <v>26</v>
      </c>
      <c r="K171">
        <v>0</v>
      </c>
      <c r="L171" s="3">
        <v>500</v>
      </c>
    </row>
    <row r="172" spans="2:12" hidden="1" x14ac:dyDescent="0.25">
      <c r="B172" t="s">
        <v>230</v>
      </c>
      <c r="C172">
        <f t="shared" si="2"/>
        <v>9</v>
      </c>
      <c r="D172" t="s">
        <v>230</v>
      </c>
      <c r="E172" t="s">
        <v>230</v>
      </c>
      <c r="F172" t="s">
        <v>312</v>
      </c>
      <c r="G172" t="s">
        <v>406</v>
      </c>
      <c r="H172" t="s">
        <v>151</v>
      </c>
      <c r="I172" t="s">
        <v>25</v>
      </c>
      <c r="J172" t="s">
        <v>26</v>
      </c>
      <c r="K172">
        <v>0</v>
      </c>
      <c r="L172" s="3">
        <v>250</v>
      </c>
    </row>
    <row r="173" spans="2:12" hidden="1" x14ac:dyDescent="0.25">
      <c r="B173" t="s">
        <v>230</v>
      </c>
      <c r="C173">
        <f t="shared" si="2"/>
        <v>9</v>
      </c>
      <c r="D173" t="s">
        <v>232</v>
      </c>
      <c r="E173" t="s">
        <v>230</v>
      </c>
      <c r="F173" t="s">
        <v>131</v>
      </c>
      <c r="G173" t="s">
        <v>128</v>
      </c>
      <c r="H173" t="s">
        <v>79</v>
      </c>
      <c r="I173" t="s">
        <v>20</v>
      </c>
      <c r="J173" t="s">
        <v>21</v>
      </c>
      <c r="K173">
        <v>1</v>
      </c>
      <c r="L173" s="3">
        <v>-1500</v>
      </c>
    </row>
    <row r="174" spans="2:12" hidden="1" x14ac:dyDescent="0.25">
      <c r="B174" t="s">
        <v>230</v>
      </c>
      <c r="C174">
        <f t="shared" si="2"/>
        <v>9</v>
      </c>
      <c r="D174" t="s">
        <v>232</v>
      </c>
      <c r="E174" t="s">
        <v>230</v>
      </c>
      <c r="F174" t="s">
        <v>129</v>
      </c>
      <c r="G174" t="s">
        <v>130</v>
      </c>
      <c r="H174" t="s">
        <v>79</v>
      </c>
      <c r="I174" t="s">
        <v>20</v>
      </c>
      <c r="J174" t="s">
        <v>21</v>
      </c>
      <c r="K174">
        <v>1</v>
      </c>
      <c r="L174" s="3">
        <v>-550</v>
      </c>
    </row>
    <row r="175" spans="2:12" hidden="1" x14ac:dyDescent="0.25">
      <c r="B175" t="s">
        <v>232</v>
      </c>
      <c r="C175">
        <f t="shared" si="2"/>
        <v>9</v>
      </c>
      <c r="D175" t="s">
        <v>232</v>
      </c>
      <c r="E175" t="s">
        <v>232</v>
      </c>
      <c r="F175" t="s">
        <v>313</v>
      </c>
      <c r="G175" t="s">
        <v>410</v>
      </c>
      <c r="H175" t="s">
        <v>19</v>
      </c>
      <c r="I175" t="s">
        <v>20</v>
      </c>
      <c r="J175" t="s">
        <v>21</v>
      </c>
      <c r="K175">
        <v>1</v>
      </c>
      <c r="L175" s="3">
        <v>-32</v>
      </c>
    </row>
    <row r="176" spans="2:12" hidden="1" x14ac:dyDescent="0.25">
      <c r="B176" t="s">
        <v>232</v>
      </c>
      <c r="C176">
        <f t="shared" si="2"/>
        <v>9</v>
      </c>
      <c r="D176" t="s">
        <v>232</v>
      </c>
      <c r="E176" t="s">
        <v>232</v>
      </c>
      <c r="F176" t="s">
        <v>118</v>
      </c>
      <c r="G176" t="s">
        <v>411</v>
      </c>
      <c r="H176" t="s">
        <v>19</v>
      </c>
      <c r="I176" t="s">
        <v>20</v>
      </c>
      <c r="J176" t="s">
        <v>21</v>
      </c>
      <c r="K176">
        <v>1</v>
      </c>
      <c r="L176" s="3">
        <v>-44.9</v>
      </c>
    </row>
    <row r="177" spans="2:12" hidden="1" x14ac:dyDescent="0.25">
      <c r="B177" t="s">
        <v>232</v>
      </c>
      <c r="C177">
        <f t="shared" si="2"/>
        <v>9</v>
      </c>
      <c r="D177" t="s">
        <v>232</v>
      </c>
      <c r="E177" t="s">
        <v>232</v>
      </c>
      <c r="F177" t="s">
        <v>314</v>
      </c>
      <c r="G177" t="s">
        <v>372</v>
      </c>
      <c r="H177" t="s">
        <v>19</v>
      </c>
      <c r="I177" t="s">
        <v>20</v>
      </c>
      <c r="J177" t="s">
        <v>21</v>
      </c>
      <c r="K177">
        <v>1</v>
      </c>
      <c r="L177" s="3">
        <v>-74.5</v>
      </c>
    </row>
    <row r="178" spans="2:12" hidden="1" x14ac:dyDescent="0.25">
      <c r="B178" t="s">
        <v>233</v>
      </c>
      <c r="C178">
        <f t="shared" si="2"/>
        <v>9</v>
      </c>
      <c r="D178" t="s">
        <v>233</v>
      </c>
      <c r="E178" t="s">
        <v>233</v>
      </c>
      <c r="F178" t="s">
        <v>53</v>
      </c>
      <c r="G178" t="s">
        <v>412</v>
      </c>
      <c r="H178" t="s">
        <v>47</v>
      </c>
      <c r="I178" t="s">
        <v>20</v>
      </c>
      <c r="J178" t="s">
        <v>21</v>
      </c>
      <c r="K178">
        <v>1</v>
      </c>
      <c r="L178" s="3">
        <v>-503.88</v>
      </c>
    </row>
    <row r="179" spans="2:12" hidden="1" x14ac:dyDescent="0.25">
      <c r="B179" t="s">
        <v>234</v>
      </c>
      <c r="C179">
        <f t="shared" si="2"/>
        <v>9</v>
      </c>
      <c r="D179" t="s">
        <v>234</v>
      </c>
      <c r="E179" t="s">
        <v>234</v>
      </c>
      <c r="F179" t="s">
        <v>315</v>
      </c>
      <c r="G179" t="s">
        <v>413</v>
      </c>
      <c r="H179" t="s">
        <v>51</v>
      </c>
      <c r="I179" t="s">
        <v>20</v>
      </c>
      <c r="J179" t="s">
        <v>26</v>
      </c>
      <c r="K179">
        <v>0</v>
      </c>
      <c r="L179" s="3">
        <v>30.31</v>
      </c>
    </row>
    <row r="180" spans="2:12" hidden="1" x14ac:dyDescent="0.25">
      <c r="B180" t="s">
        <v>231</v>
      </c>
      <c r="C180">
        <f t="shared" ref="C180:C211" si="3">MONTH(B180)</f>
        <v>9</v>
      </c>
      <c r="D180" t="s">
        <v>231</v>
      </c>
      <c r="E180" t="s">
        <v>231</v>
      </c>
      <c r="F180" t="s">
        <v>317</v>
      </c>
      <c r="G180" t="s">
        <v>415</v>
      </c>
      <c r="H180" t="s">
        <v>19</v>
      </c>
      <c r="I180" t="s">
        <v>20</v>
      </c>
      <c r="J180" t="s">
        <v>21</v>
      </c>
      <c r="K180">
        <v>1</v>
      </c>
      <c r="L180" s="3">
        <v>-44.9</v>
      </c>
    </row>
    <row r="181" spans="2:12" hidden="1" x14ac:dyDescent="0.25">
      <c r="B181" t="s">
        <v>231</v>
      </c>
      <c r="C181">
        <f t="shared" si="3"/>
        <v>9</v>
      </c>
      <c r="D181" t="s">
        <v>231</v>
      </c>
      <c r="E181" t="s">
        <v>231</v>
      </c>
      <c r="F181" t="s">
        <v>318</v>
      </c>
      <c r="G181" t="s">
        <v>416</v>
      </c>
      <c r="H181" t="s">
        <v>19</v>
      </c>
      <c r="I181" t="s">
        <v>20</v>
      </c>
      <c r="J181" t="s">
        <v>21</v>
      </c>
      <c r="K181">
        <v>1</v>
      </c>
      <c r="L181" s="3">
        <v>-124.79</v>
      </c>
    </row>
    <row r="182" spans="2:12" hidden="1" x14ac:dyDescent="0.25">
      <c r="B182" t="s">
        <v>231</v>
      </c>
      <c r="C182">
        <f t="shared" si="3"/>
        <v>9</v>
      </c>
      <c r="D182" t="s">
        <v>231</v>
      </c>
      <c r="E182" t="s">
        <v>231</v>
      </c>
      <c r="F182" t="s">
        <v>318</v>
      </c>
      <c r="G182" t="s">
        <v>417</v>
      </c>
      <c r="H182" t="s">
        <v>19</v>
      </c>
      <c r="I182" t="s">
        <v>20</v>
      </c>
      <c r="J182" t="s">
        <v>21</v>
      </c>
      <c r="K182">
        <v>0</v>
      </c>
      <c r="L182" s="3">
        <v>-30.31</v>
      </c>
    </row>
    <row r="183" spans="2:12" hidden="1" x14ac:dyDescent="0.25">
      <c r="B183" t="s">
        <v>235</v>
      </c>
      <c r="C183">
        <f t="shared" si="3"/>
        <v>9</v>
      </c>
      <c r="D183" t="s">
        <v>235</v>
      </c>
      <c r="E183" t="s">
        <v>235</v>
      </c>
      <c r="F183" t="s">
        <v>48</v>
      </c>
      <c r="G183" t="s">
        <v>418</v>
      </c>
      <c r="H183" t="s">
        <v>62</v>
      </c>
      <c r="I183" t="s">
        <v>20</v>
      </c>
      <c r="J183" t="s">
        <v>21</v>
      </c>
      <c r="K183">
        <v>0</v>
      </c>
      <c r="L183" s="3">
        <v>-300</v>
      </c>
    </row>
    <row r="184" spans="2:12" hidden="1" x14ac:dyDescent="0.25">
      <c r="B184" t="s">
        <v>235</v>
      </c>
      <c r="C184">
        <f t="shared" si="3"/>
        <v>9</v>
      </c>
      <c r="D184" t="s">
        <v>235</v>
      </c>
      <c r="E184" t="s">
        <v>235</v>
      </c>
      <c r="F184" t="s">
        <v>36</v>
      </c>
      <c r="G184" t="s">
        <v>61</v>
      </c>
      <c r="H184" t="s">
        <v>62</v>
      </c>
      <c r="I184" t="s">
        <v>25</v>
      </c>
      <c r="J184" t="s">
        <v>21</v>
      </c>
      <c r="K184">
        <v>0</v>
      </c>
      <c r="L184" s="3">
        <v>-300</v>
      </c>
    </row>
    <row r="185" spans="2:12" hidden="1" x14ac:dyDescent="0.25">
      <c r="B185" t="s">
        <v>237</v>
      </c>
      <c r="C185">
        <f t="shared" si="3"/>
        <v>9</v>
      </c>
      <c r="D185" t="s">
        <v>237</v>
      </c>
      <c r="E185" t="s">
        <v>237</v>
      </c>
      <c r="F185" t="s">
        <v>31</v>
      </c>
      <c r="G185" t="s">
        <v>420</v>
      </c>
      <c r="H185" t="s">
        <v>29</v>
      </c>
      <c r="I185" t="s">
        <v>20</v>
      </c>
      <c r="J185" t="s">
        <v>21</v>
      </c>
      <c r="K185">
        <v>1</v>
      </c>
      <c r="L185" s="3">
        <v>-105</v>
      </c>
    </row>
    <row r="186" spans="2:12" hidden="1" x14ac:dyDescent="0.25">
      <c r="B186" t="s">
        <v>237</v>
      </c>
      <c r="C186">
        <f t="shared" si="3"/>
        <v>9</v>
      </c>
      <c r="D186" t="s">
        <v>237</v>
      </c>
      <c r="E186" t="s">
        <v>237</v>
      </c>
      <c r="F186" t="s">
        <v>319</v>
      </c>
      <c r="G186" t="s">
        <v>421</v>
      </c>
      <c r="H186" t="s">
        <v>19</v>
      </c>
      <c r="I186" t="s">
        <v>20</v>
      </c>
      <c r="J186" t="s">
        <v>21</v>
      </c>
      <c r="K186">
        <v>1</v>
      </c>
      <c r="L186" s="3">
        <v>-91.65</v>
      </c>
    </row>
    <row r="187" spans="2:12" hidden="1" x14ac:dyDescent="0.25">
      <c r="B187" t="s">
        <v>239</v>
      </c>
      <c r="C187">
        <f t="shared" si="3"/>
        <v>9</v>
      </c>
      <c r="D187" t="s">
        <v>238</v>
      </c>
      <c r="E187" t="s">
        <v>238</v>
      </c>
      <c r="F187" t="s">
        <v>22</v>
      </c>
      <c r="G187" t="s">
        <v>82</v>
      </c>
      <c r="H187" t="s">
        <v>24</v>
      </c>
      <c r="I187" t="s">
        <v>20</v>
      </c>
      <c r="J187" t="s">
        <v>26</v>
      </c>
      <c r="K187">
        <v>0</v>
      </c>
      <c r="L187" s="3">
        <v>9000</v>
      </c>
    </row>
    <row r="188" spans="2:12" hidden="1" x14ac:dyDescent="0.25">
      <c r="B188" t="s">
        <v>239</v>
      </c>
      <c r="C188">
        <f t="shared" si="3"/>
        <v>9</v>
      </c>
      <c r="D188" t="s">
        <v>238</v>
      </c>
      <c r="E188" t="s">
        <v>238</v>
      </c>
      <c r="F188" t="s">
        <v>68</v>
      </c>
      <c r="G188" t="s">
        <v>404</v>
      </c>
      <c r="H188" t="s">
        <v>47</v>
      </c>
      <c r="I188" t="s">
        <v>20</v>
      </c>
      <c r="J188" t="s">
        <v>21</v>
      </c>
      <c r="K188">
        <v>1</v>
      </c>
      <c r="L188" s="3">
        <v>-350</v>
      </c>
    </row>
    <row r="189" spans="2:12" hidden="1" x14ac:dyDescent="0.25">
      <c r="B189" t="s">
        <v>240</v>
      </c>
      <c r="C189">
        <f t="shared" si="3"/>
        <v>9</v>
      </c>
      <c r="D189" t="s">
        <v>240</v>
      </c>
      <c r="E189" t="s">
        <v>240</v>
      </c>
      <c r="F189" t="s">
        <v>320</v>
      </c>
      <c r="G189" t="s">
        <v>422</v>
      </c>
      <c r="H189" t="s">
        <v>55</v>
      </c>
      <c r="I189" t="s">
        <v>20</v>
      </c>
      <c r="J189" t="s">
        <v>21</v>
      </c>
      <c r="K189">
        <v>0</v>
      </c>
      <c r="L189" s="3">
        <v>-30</v>
      </c>
    </row>
    <row r="190" spans="2:12" hidden="1" x14ac:dyDescent="0.25">
      <c r="B190" t="s">
        <v>240</v>
      </c>
      <c r="C190">
        <f t="shared" si="3"/>
        <v>9</v>
      </c>
      <c r="D190" t="s">
        <v>240</v>
      </c>
      <c r="E190" t="s">
        <v>240</v>
      </c>
      <c r="F190" t="s">
        <v>305</v>
      </c>
      <c r="G190" t="s">
        <v>423</v>
      </c>
      <c r="H190" t="s">
        <v>29</v>
      </c>
      <c r="I190" t="s">
        <v>20</v>
      </c>
      <c r="J190" t="s">
        <v>21</v>
      </c>
      <c r="K190">
        <v>0</v>
      </c>
      <c r="L190" s="3">
        <v>-52.6</v>
      </c>
    </row>
    <row r="191" spans="2:12" hidden="1" x14ac:dyDescent="0.25">
      <c r="B191" t="s">
        <v>241</v>
      </c>
      <c r="C191">
        <f t="shared" si="3"/>
        <v>9</v>
      </c>
      <c r="D191" t="s">
        <v>241</v>
      </c>
      <c r="E191" t="s">
        <v>241</v>
      </c>
      <c r="F191" t="s">
        <v>48</v>
      </c>
      <c r="G191" t="s">
        <v>49</v>
      </c>
      <c r="H191" t="s">
        <v>57</v>
      </c>
      <c r="I191" t="s">
        <v>20</v>
      </c>
      <c r="J191" t="s">
        <v>21</v>
      </c>
      <c r="K191">
        <v>0</v>
      </c>
      <c r="L191" s="3">
        <v>-6000</v>
      </c>
    </row>
    <row r="192" spans="2:12" hidden="1" x14ac:dyDescent="0.25">
      <c r="B192" t="s">
        <v>241</v>
      </c>
      <c r="C192">
        <f t="shared" si="3"/>
        <v>9</v>
      </c>
      <c r="D192" t="s">
        <v>241</v>
      </c>
      <c r="E192" t="s">
        <v>241</v>
      </c>
      <c r="F192" t="s">
        <v>321</v>
      </c>
      <c r="G192" t="s">
        <v>424</v>
      </c>
      <c r="H192" t="s">
        <v>183</v>
      </c>
      <c r="I192" t="s">
        <v>20</v>
      </c>
      <c r="J192" t="s">
        <v>21</v>
      </c>
      <c r="K192">
        <v>0</v>
      </c>
      <c r="L192" s="3">
        <v>-15</v>
      </c>
    </row>
    <row r="193" spans="2:12" hidden="1" x14ac:dyDescent="0.25">
      <c r="B193" t="s">
        <v>242</v>
      </c>
      <c r="C193">
        <f t="shared" si="3"/>
        <v>9</v>
      </c>
      <c r="D193" t="s">
        <v>242</v>
      </c>
      <c r="E193" t="s">
        <v>242</v>
      </c>
      <c r="F193" t="s">
        <v>71</v>
      </c>
      <c r="G193" t="s">
        <v>425</v>
      </c>
      <c r="H193" t="s">
        <v>19</v>
      </c>
      <c r="I193" t="s">
        <v>20</v>
      </c>
      <c r="J193" t="s">
        <v>21</v>
      </c>
      <c r="K193">
        <v>0</v>
      </c>
      <c r="L193" s="3">
        <v>-26</v>
      </c>
    </row>
    <row r="194" spans="2:12" hidden="1" x14ac:dyDescent="0.25">
      <c r="B194" t="s">
        <v>242</v>
      </c>
      <c r="C194">
        <f t="shared" si="3"/>
        <v>9</v>
      </c>
      <c r="D194" t="s">
        <v>242</v>
      </c>
      <c r="E194" t="s">
        <v>242</v>
      </c>
      <c r="F194" t="s">
        <v>322</v>
      </c>
      <c r="G194" t="s">
        <v>425</v>
      </c>
      <c r="H194" t="s">
        <v>19</v>
      </c>
      <c r="I194" t="s">
        <v>20</v>
      </c>
      <c r="J194" t="s">
        <v>21</v>
      </c>
      <c r="K194">
        <v>0</v>
      </c>
      <c r="L194" s="3">
        <v>-36.479999999999997</v>
      </c>
    </row>
    <row r="195" spans="2:12" hidden="1" x14ac:dyDescent="0.25">
      <c r="B195" t="s">
        <v>242</v>
      </c>
      <c r="C195">
        <f t="shared" si="3"/>
        <v>9</v>
      </c>
      <c r="D195" t="s">
        <v>242</v>
      </c>
      <c r="E195" t="s">
        <v>242</v>
      </c>
      <c r="F195" t="s">
        <v>155</v>
      </c>
      <c r="G195" t="s">
        <v>426</v>
      </c>
      <c r="H195" t="s">
        <v>47</v>
      </c>
      <c r="I195" t="s">
        <v>20</v>
      </c>
      <c r="J195" t="s">
        <v>21</v>
      </c>
      <c r="K195">
        <v>0</v>
      </c>
      <c r="L195" s="3">
        <v>-1000</v>
      </c>
    </row>
    <row r="196" spans="2:12" hidden="1" x14ac:dyDescent="0.25">
      <c r="B196" t="s">
        <v>243</v>
      </c>
      <c r="C196">
        <f t="shared" si="3"/>
        <v>9</v>
      </c>
      <c r="D196" t="s">
        <v>243</v>
      </c>
      <c r="E196" t="s">
        <v>243</v>
      </c>
      <c r="F196" t="s">
        <v>45</v>
      </c>
      <c r="G196" t="s">
        <v>427</v>
      </c>
      <c r="H196" t="s">
        <v>19</v>
      </c>
      <c r="I196" t="s">
        <v>20</v>
      </c>
      <c r="J196" t="s">
        <v>21</v>
      </c>
      <c r="K196">
        <v>0</v>
      </c>
      <c r="L196" s="3">
        <v>-60</v>
      </c>
    </row>
    <row r="197" spans="2:12" hidden="1" x14ac:dyDescent="0.25">
      <c r="B197" t="s">
        <v>240</v>
      </c>
      <c r="C197">
        <f t="shared" si="3"/>
        <v>9</v>
      </c>
      <c r="D197" t="s">
        <v>497</v>
      </c>
      <c r="E197" t="s">
        <v>497</v>
      </c>
      <c r="F197" t="s">
        <v>323</v>
      </c>
      <c r="G197" t="s">
        <v>148</v>
      </c>
      <c r="H197" t="s">
        <v>44</v>
      </c>
      <c r="I197" t="s">
        <v>20</v>
      </c>
      <c r="J197" t="s">
        <v>26</v>
      </c>
      <c r="K197">
        <v>0</v>
      </c>
      <c r="L197" s="3">
        <v>2800</v>
      </c>
    </row>
    <row r="198" spans="2:12" hidden="1" x14ac:dyDescent="0.25">
      <c r="B198" t="s">
        <v>244</v>
      </c>
      <c r="C198">
        <f t="shared" si="3"/>
        <v>9</v>
      </c>
      <c r="D198" t="s">
        <v>497</v>
      </c>
      <c r="E198" t="s">
        <v>497</v>
      </c>
      <c r="F198" t="s">
        <v>103</v>
      </c>
      <c r="G198" t="s">
        <v>381</v>
      </c>
      <c r="H198" t="s">
        <v>44</v>
      </c>
      <c r="I198" t="s">
        <v>20</v>
      </c>
      <c r="J198" t="s">
        <v>26</v>
      </c>
      <c r="K198">
        <v>0</v>
      </c>
      <c r="L198" s="3">
        <v>300</v>
      </c>
    </row>
    <row r="199" spans="2:12" hidden="1" x14ac:dyDescent="0.25">
      <c r="B199" t="s">
        <v>244</v>
      </c>
      <c r="C199">
        <f t="shared" si="3"/>
        <v>9</v>
      </c>
      <c r="D199" t="s">
        <v>244</v>
      </c>
      <c r="E199" t="s">
        <v>244</v>
      </c>
      <c r="F199" t="s">
        <v>316</v>
      </c>
      <c r="G199" t="s">
        <v>427</v>
      </c>
      <c r="H199" t="s">
        <v>19</v>
      </c>
      <c r="I199" t="s">
        <v>20</v>
      </c>
      <c r="J199" t="s">
        <v>21</v>
      </c>
      <c r="K199">
        <v>0</v>
      </c>
      <c r="L199" s="3">
        <v>-15</v>
      </c>
    </row>
    <row r="200" spans="2:12" hidden="1" x14ac:dyDescent="0.25">
      <c r="B200" t="s">
        <v>244</v>
      </c>
      <c r="C200">
        <f t="shared" si="3"/>
        <v>9</v>
      </c>
      <c r="D200" t="s">
        <v>244</v>
      </c>
      <c r="E200" t="s">
        <v>244</v>
      </c>
      <c r="F200" t="s">
        <v>316</v>
      </c>
      <c r="G200" t="s">
        <v>428</v>
      </c>
      <c r="H200" t="s">
        <v>19</v>
      </c>
      <c r="I200" t="s">
        <v>20</v>
      </c>
      <c r="J200" t="s">
        <v>21</v>
      </c>
      <c r="K200">
        <v>0</v>
      </c>
      <c r="L200" s="3">
        <v>-35</v>
      </c>
    </row>
    <row r="201" spans="2:12" hidden="1" x14ac:dyDescent="0.25">
      <c r="B201" t="s">
        <v>245</v>
      </c>
      <c r="C201">
        <f t="shared" si="3"/>
        <v>8</v>
      </c>
      <c r="D201" t="s">
        <v>245</v>
      </c>
      <c r="E201" t="s">
        <v>245</v>
      </c>
      <c r="F201" t="s">
        <v>144</v>
      </c>
      <c r="G201" t="s">
        <v>186</v>
      </c>
      <c r="H201" t="s">
        <v>19</v>
      </c>
      <c r="I201" t="s">
        <v>20</v>
      </c>
      <c r="J201" t="s">
        <v>21</v>
      </c>
      <c r="K201">
        <v>0</v>
      </c>
      <c r="L201" s="3">
        <v>-40.18</v>
      </c>
    </row>
    <row r="202" spans="2:12" hidden="1" x14ac:dyDescent="0.25">
      <c r="B202" t="s">
        <v>245</v>
      </c>
      <c r="C202">
        <f t="shared" si="3"/>
        <v>8</v>
      </c>
      <c r="D202" t="s">
        <v>245</v>
      </c>
      <c r="E202" t="s">
        <v>245</v>
      </c>
      <c r="F202" t="s">
        <v>324</v>
      </c>
      <c r="G202" t="s">
        <v>429</v>
      </c>
      <c r="H202" t="s">
        <v>29</v>
      </c>
      <c r="I202" t="s">
        <v>20</v>
      </c>
      <c r="J202" t="s">
        <v>21</v>
      </c>
      <c r="K202">
        <v>0</v>
      </c>
      <c r="L202" s="3">
        <v>-139.4</v>
      </c>
    </row>
    <row r="203" spans="2:12" hidden="1" x14ac:dyDescent="0.25">
      <c r="B203" t="s">
        <v>246</v>
      </c>
      <c r="C203">
        <f t="shared" si="3"/>
        <v>8</v>
      </c>
      <c r="D203" t="s">
        <v>246</v>
      </c>
      <c r="E203" t="s">
        <v>246</v>
      </c>
      <c r="F203" t="s">
        <v>325</v>
      </c>
      <c r="G203" t="s">
        <v>430</v>
      </c>
      <c r="H203" t="s">
        <v>47</v>
      </c>
      <c r="I203" t="s">
        <v>20</v>
      </c>
      <c r="J203" t="s">
        <v>21</v>
      </c>
      <c r="K203">
        <v>0</v>
      </c>
      <c r="L203" s="3">
        <v>-76</v>
      </c>
    </row>
    <row r="204" spans="2:12" hidden="1" x14ac:dyDescent="0.25">
      <c r="B204" t="s">
        <v>246</v>
      </c>
      <c r="C204">
        <f t="shared" si="3"/>
        <v>8</v>
      </c>
      <c r="D204" t="s">
        <v>246</v>
      </c>
      <c r="E204" t="s">
        <v>246</v>
      </c>
      <c r="F204" t="s">
        <v>302</v>
      </c>
      <c r="G204" t="s">
        <v>431</v>
      </c>
      <c r="H204" t="s">
        <v>47</v>
      </c>
      <c r="I204" t="s">
        <v>20</v>
      </c>
      <c r="J204" t="s">
        <v>21</v>
      </c>
      <c r="K204">
        <v>0</v>
      </c>
      <c r="L204" s="3">
        <v>-500</v>
      </c>
    </row>
    <row r="205" spans="2:12" hidden="1" x14ac:dyDescent="0.25">
      <c r="B205" t="s">
        <v>246</v>
      </c>
      <c r="C205">
        <f t="shared" si="3"/>
        <v>8</v>
      </c>
      <c r="D205" t="s">
        <v>246</v>
      </c>
      <c r="E205" t="s">
        <v>246</v>
      </c>
      <c r="F205" t="s">
        <v>326</v>
      </c>
      <c r="G205" t="s">
        <v>372</v>
      </c>
      <c r="H205" t="s">
        <v>19</v>
      </c>
      <c r="I205" t="s">
        <v>20</v>
      </c>
      <c r="J205" t="s">
        <v>21</v>
      </c>
      <c r="K205">
        <v>0</v>
      </c>
      <c r="L205" s="3">
        <v>-165</v>
      </c>
    </row>
    <row r="206" spans="2:12" hidden="1" x14ac:dyDescent="0.25">
      <c r="B206" t="s">
        <v>246</v>
      </c>
      <c r="C206">
        <f t="shared" si="3"/>
        <v>8</v>
      </c>
      <c r="D206" t="s">
        <v>246</v>
      </c>
      <c r="E206" t="s">
        <v>246</v>
      </c>
      <c r="F206" t="s">
        <v>327</v>
      </c>
      <c r="G206" t="s">
        <v>432</v>
      </c>
      <c r="H206" t="s">
        <v>47</v>
      </c>
      <c r="I206" t="s">
        <v>20</v>
      </c>
      <c r="J206" t="s">
        <v>21</v>
      </c>
      <c r="K206">
        <v>0</v>
      </c>
      <c r="L206" s="3">
        <v>-186.19</v>
      </c>
    </row>
    <row r="207" spans="2:12" hidden="1" x14ac:dyDescent="0.25">
      <c r="B207" t="s">
        <v>247</v>
      </c>
      <c r="C207">
        <f t="shared" si="3"/>
        <v>8</v>
      </c>
      <c r="D207" t="s">
        <v>247</v>
      </c>
      <c r="E207" t="s">
        <v>247</v>
      </c>
      <c r="F207" t="s">
        <v>48</v>
      </c>
      <c r="G207" t="s">
        <v>49</v>
      </c>
      <c r="H207" t="s">
        <v>57</v>
      </c>
      <c r="I207" t="s">
        <v>20</v>
      </c>
      <c r="J207" t="s">
        <v>21</v>
      </c>
      <c r="K207">
        <v>0</v>
      </c>
      <c r="L207" s="3">
        <v>-4000</v>
      </c>
    </row>
    <row r="208" spans="2:12" hidden="1" x14ac:dyDescent="0.25">
      <c r="B208" t="s">
        <v>247</v>
      </c>
      <c r="C208">
        <f t="shared" si="3"/>
        <v>8</v>
      </c>
      <c r="D208" t="s">
        <v>247</v>
      </c>
      <c r="E208" t="s">
        <v>247</v>
      </c>
      <c r="F208" t="s">
        <v>45</v>
      </c>
      <c r="G208" t="s">
        <v>372</v>
      </c>
      <c r="H208" t="s">
        <v>19</v>
      </c>
      <c r="I208" t="s">
        <v>20</v>
      </c>
      <c r="J208" t="s">
        <v>21</v>
      </c>
      <c r="K208">
        <v>0</v>
      </c>
      <c r="L208" s="3">
        <v>-38.549999999999997</v>
      </c>
    </row>
    <row r="209" spans="2:12" hidden="1" x14ac:dyDescent="0.25">
      <c r="B209" t="s">
        <v>248</v>
      </c>
      <c r="C209">
        <f t="shared" si="3"/>
        <v>8</v>
      </c>
      <c r="D209" t="s">
        <v>248</v>
      </c>
      <c r="E209" t="s">
        <v>248</v>
      </c>
      <c r="F209" t="s">
        <v>328</v>
      </c>
      <c r="G209" t="s">
        <v>433</v>
      </c>
      <c r="H209" t="s">
        <v>19</v>
      </c>
      <c r="I209" t="s">
        <v>20</v>
      </c>
      <c r="J209" t="s">
        <v>21</v>
      </c>
      <c r="K209">
        <v>0</v>
      </c>
      <c r="L209" s="3">
        <v>-32</v>
      </c>
    </row>
    <row r="210" spans="2:12" hidden="1" x14ac:dyDescent="0.25">
      <c r="B210" t="s">
        <v>249</v>
      </c>
      <c r="C210">
        <f t="shared" si="3"/>
        <v>8</v>
      </c>
      <c r="D210" t="s">
        <v>249</v>
      </c>
      <c r="E210" t="s">
        <v>249</v>
      </c>
      <c r="F210" t="s">
        <v>329</v>
      </c>
      <c r="G210" t="s">
        <v>148</v>
      </c>
      <c r="H210" t="s">
        <v>44</v>
      </c>
      <c r="I210" t="s">
        <v>20</v>
      </c>
      <c r="J210" t="s">
        <v>26</v>
      </c>
      <c r="K210">
        <v>0</v>
      </c>
      <c r="L210" s="3">
        <v>3060</v>
      </c>
    </row>
    <row r="211" spans="2:12" hidden="1" x14ac:dyDescent="0.25">
      <c r="B211" t="s">
        <v>249</v>
      </c>
      <c r="C211">
        <f t="shared" si="3"/>
        <v>8</v>
      </c>
      <c r="D211" t="s">
        <v>249</v>
      </c>
      <c r="E211" t="s">
        <v>249</v>
      </c>
      <c r="F211" t="s">
        <v>330</v>
      </c>
      <c r="G211" t="s">
        <v>434</v>
      </c>
      <c r="H211" t="s">
        <v>55</v>
      </c>
      <c r="I211" t="s">
        <v>20</v>
      </c>
      <c r="J211" t="s">
        <v>21</v>
      </c>
      <c r="K211">
        <v>0</v>
      </c>
      <c r="L211" s="3">
        <v>-30</v>
      </c>
    </row>
    <row r="212" spans="2:12" hidden="1" x14ac:dyDescent="0.25">
      <c r="B212" t="s">
        <v>250</v>
      </c>
      <c r="C212">
        <f t="shared" ref="C212:C243" si="4">MONTH(B212)</f>
        <v>8</v>
      </c>
      <c r="D212" t="s">
        <v>250</v>
      </c>
      <c r="E212" t="s">
        <v>250</v>
      </c>
      <c r="F212" t="s">
        <v>68</v>
      </c>
      <c r="G212" t="s">
        <v>69</v>
      </c>
      <c r="H212" t="s">
        <v>47</v>
      </c>
      <c r="I212" t="s">
        <v>20</v>
      </c>
      <c r="J212" t="s">
        <v>21</v>
      </c>
      <c r="K212">
        <v>0</v>
      </c>
      <c r="L212" s="3">
        <v>-750</v>
      </c>
    </row>
    <row r="213" spans="2:12" hidden="1" x14ac:dyDescent="0.25">
      <c r="B213" t="s">
        <v>251</v>
      </c>
      <c r="C213">
        <f t="shared" si="4"/>
        <v>8</v>
      </c>
      <c r="D213" t="s">
        <v>251</v>
      </c>
      <c r="E213" t="s">
        <v>251</v>
      </c>
      <c r="F213" t="s">
        <v>303</v>
      </c>
      <c r="G213" t="s">
        <v>435</v>
      </c>
      <c r="H213" t="s">
        <v>19</v>
      </c>
      <c r="I213" t="s">
        <v>20</v>
      </c>
      <c r="J213" t="s">
        <v>21</v>
      </c>
      <c r="K213">
        <v>0</v>
      </c>
      <c r="L213" s="3">
        <v>-41.59</v>
      </c>
    </row>
    <row r="214" spans="2:12" hidden="1" x14ac:dyDescent="0.25">
      <c r="B214" t="s">
        <v>252</v>
      </c>
      <c r="C214">
        <f t="shared" si="4"/>
        <v>8</v>
      </c>
      <c r="D214" t="s">
        <v>252</v>
      </c>
      <c r="E214" t="s">
        <v>252</v>
      </c>
      <c r="F214" t="s">
        <v>48</v>
      </c>
      <c r="G214" t="s">
        <v>49</v>
      </c>
      <c r="H214" t="s">
        <v>57</v>
      </c>
      <c r="I214" t="s">
        <v>20</v>
      </c>
      <c r="J214" t="s">
        <v>21</v>
      </c>
      <c r="K214">
        <v>0</v>
      </c>
      <c r="L214" s="3">
        <v>-2000</v>
      </c>
    </row>
    <row r="215" spans="2:12" hidden="1" x14ac:dyDescent="0.25">
      <c r="B215" t="s">
        <v>253</v>
      </c>
      <c r="C215">
        <f t="shared" si="4"/>
        <v>8</v>
      </c>
      <c r="D215" t="s">
        <v>253</v>
      </c>
      <c r="E215" t="s">
        <v>253</v>
      </c>
      <c r="F215" t="s">
        <v>131</v>
      </c>
      <c r="G215" t="s">
        <v>128</v>
      </c>
      <c r="H215" t="s">
        <v>79</v>
      </c>
      <c r="I215" t="s">
        <v>20</v>
      </c>
      <c r="J215" t="s">
        <v>21</v>
      </c>
      <c r="K215">
        <v>0</v>
      </c>
      <c r="L215" s="3">
        <v>-1500</v>
      </c>
    </row>
    <row r="216" spans="2:12" hidden="1" x14ac:dyDescent="0.25">
      <c r="B216" t="s">
        <v>253</v>
      </c>
      <c r="C216">
        <f t="shared" si="4"/>
        <v>8</v>
      </c>
      <c r="D216" t="s">
        <v>253</v>
      </c>
      <c r="E216" t="s">
        <v>253</v>
      </c>
      <c r="F216" t="s">
        <v>129</v>
      </c>
      <c r="G216" t="s">
        <v>436</v>
      </c>
      <c r="H216" t="s">
        <v>79</v>
      </c>
      <c r="I216" t="s">
        <v>20</v>
      </c>
      <c r="J216" t="s">
        <v>21</v>
      </c>
      <c r="K216">
        <v>1</v>
      </c>
      <c r="L216" s="3">
        <v>-550</v>
      </c>
    </row>
    <row r="217" spans="2:12" hidden="1" x14ac:dyDescent="0.25">
      <c r="B217" t="s">
        <v>253</v>
      </c>
      <c r="C217">
        <f t="shared" si="4"/>
        <v>8</v>
      </c>
      <c r="D217" t="s">
        <v>253</v>
      </c>
      <c r="E217" t="s">
        <v>253</v>
      </c>
      <c r="F217" t="s">
        <v>127</v>
      </c>
      <c r="G217" t="s">
        <v>128</v>
      </c>
      <c r="H217" t="s">
        <v>79</v>
      </c>
      <c r="I217" t="s">
        <v>20</v>
      </c>
      <c r="J217" t="s">
        <v>21</v>
      </c>
      <c r="K217">
        <v>0</v>
      </c>
      <c r="L217" s="3">
        <v>-1500</v>
      </c>
    </row>
    <row r="218" spans="2:12" hidden="1" x14ac:dyDescent="0.25">
      <c r="B218" t="s">
        <v>254</v>
      </c>
      <c r="C218">
        <f t="shared" si="4"/>
        <v>8</v>
      </c>
      <c r="D218" t="s">
        <v>254</v>
      </c>
      <c r="E218" t="s">
        <v>254</v>
      </c>
      <c r="F218" t="s">
        <v>103</v>
      </c>
      <c r="G218" t="s">
        <v>381</v>
      </c>
      <c r="H218" t="s">
        <v>44</v>
      </c>
      <c r="I218" t="s">
        <v>20</v>
      </c>
      <c r="J218" t="s">
        <v>26</v>
      </c>
      <c r="K218">
        <v>0</v>
      </c>
      <c r="L218" s="3">
        <v>260</v>
      </c>
    </row>
    <row r="219" spans="2:12" hidden="1" x14ac:dyDescent="0.25">
      <c r="B219" t="s">
        <v>255</v>
      </c>
      <c r="C219">
        <f t="shared" si="4"/>
        <v>8</v>
      </c>
      <c r="D219" t="s">
        <v>255</v>
      </c>
      <c r="E219" t="s">
        <v>255</v>
      </c>
      <c r="F219" t="s">
        <v>331</v>
      </c>
      <c r="G219" t="s">
        <v>437</v>
      </c>
      <c r="H219" t="s">
        <v>19</v>
      </c>
      <c r="I219" t="s">
        <v>20</v>
      </c>
      <c r="J219" t="s">
        <v>21</v>
      </c>
      <c r="K219">
        <v>0</v>
      </c>
      <c r="L219" s="3">
        <v>-27.32</v>
      </c>
    </row>
    <row r="220" spans="2:12" hidden="1" x14ac:dyDescent="0.25">
      <c r="B220" t="s">
        <v>255</v>
      </c>
      <c r="C220">
        <f t="shared" si="4"/>
        <v>8</v>
      </c>
      <c r="D220" t="s">
        <v>255</v>
      </c>
      <c r="E220" t="s">
        <v>255</v>
      </c>
      <c r="F220" t="s">
        <v>332</v>
      </c>
      <c r="G220" t="s">
        <v>438</v>
      </c>
      <c r="H220" t="s">
        <v>44</v>
      </c>
      <c r="I220" t="s">
        <v>20</v>
      </c>
      <c r="J220" t="s">
        <v>26</v>
      </c>
      <c r="K220">
        <v>0</v>
      </c>
      <c r="L220" s="3">
        <v>2100</v>
      </c>
    </row>
    <row r="221" spans="2:12" hidden="1" x14ac:dyDescent="0.25">
      <c r="B221" t="s">
        <v>255</v>
      </c>
      <c r="C221">
        <f t="shared" si="4"/>
        <v>8</v>
      </c>
      <c r="D221" t="s">
        <v>255</v>
      </c>
      <c r="E221" t="s">
        <v>255</v>
      </c>
      <c r="F221" t="s">
        <v>332</v>
      </c>
      <c r="G221" t="s">
        <v>438</v>
      </c>
      <c r="H221" t="s">
        <v>44</v>
      </c>
      <c r="I221" t="s">
        <v>20</v>
      </c>
      <c r="J221" t="s">
        <v>26</v>
      </c>
      <c r="K221">
        <v>0</v>
      </c>
      <c r="L221" s="3">
        <v>960</v>
      </c>
    </row>
    <row r="222" spans="2:12" hidden="1" x14ac:dyDescent="0.25">
      <c r="B222" t="s">
        <v>256</v>
      </c>
      <c r="C222">
        <f t="shared" si="4"/>
        <v>8</v>
      </c>
      <c r="D222" t="s">
        <v>256</v>
      </c>
      <c r="E222" t="s">
        <v>256</v>
      </c>
      <c r="F222" t="s">
        <v>45</v>
      </c>
      <c r="G222" t="s">
        <v>439</v>
      </c>
      <c r="H222" t="s">
        <v>19</v>
      </c>
      <c r="I222" t="s">
        <v>20</v>
      </c>
      <c r="J222" t="s">
        <v>21</v>
      </c>
      <c r="K222">
        <v>0</v>
      </c>
      <c r="L222" s="3">
        <v>-44.51</v>
      </c>
    </row>
    <row r="223" spans="2:12" hidden="1" x14ac:dyDescent="0.25">
      <c r="B223" t="s">
        <v>257</v>
      </c>
      <c r="C223">
        <f t="shared" si="4"/>
        <v>8</v>
      </c>
      <c r="D223" t="s">
        <v>263</v>
      </c>
      <c r="E223" t="s">
        <v>263</v>
      </c>
      <c r="F223" t="s">
        <v>333</v>
      </c>
      <c r="G223" t="s">
        <v>148</v>
      </c>
      <c r="H223" t="s">
        <v>44</v>
      </c>
      <c r="I223" t="s">
        <v>20</v>
      </c>
      <c r="J223" t="s">
        <v>26</v>
      </c>
      <c r="K223">
        <v>0</v>
      </c>
      <c r="L223" s="3">
        <v>3060</v>
      </c>
    </row>
    <row r="224" spans="2:12" hidden="1" x14ac:dyDescent="0.25">
      <c r="B224" t="s">
        <v>258</v>
      </c>
      <c r="C224">
        <f t="shared" si="4"/>
        <v>8</v>
      </c>
      <c r="D224" t="s">
        <v>258</v>
      </c>
      <c r="E224" t="s">
        <v>258</v>
      </c>
      <c r="F224" t="s">
        <v>68</v>
      </c>
      <c r="G224" t="s">
        <v>69</v>
      </c>
      <c r="H224" t="s">
        <v>47</v>
      </c>
      <c r="I224" t="s">
        <v>20</v>
      </c>
      <c r="J224" t="s">
        <v>21</v>
      </c>
      <c r="K224">
        <v>0</v>
      </c>
      <c r="L224" s="3">
        <v>-350</v>
      </c>
    </row>
    <row r="225" spans="2:12" hidden="1" x14ac:dyDescent="0.25">
      <c r="B225" t="s">
        <v>258</v>
      </c>
      <c r="C225">
        <f t="shared" si="4"/>
        <v>8</v>
      </c>
      <c r="D225" t="s">
        <v>258</v>
      </c>
      <c r="E225" t="s">
        <v>258</v>
      </c>
      <c r="F225" t="s">
        <v>334</v>
      </c>
      <c r="G225" t="s">
        <v>440</v>
      </c>
      <c r="H225" t="s">
        <v>55</v>
      </c>
      <c r="I225" t="s">
        <v>20</v>
      </c>
      <c r="J225" t="s">
        <v>21</v>
      </c>
      <c r="K225">
        <v>0</v>
      </c>
      <c r="L225" s="3">
        <v>-503.7</v>
      </c>
    </row>
    <row r="226" spans="2:12" hidden="1" x14ac:dyDescent="0.25">
      <c r="B226" t="s">
        <v>259</v>
      </c>
      <c r="C226">
        <f t="shared" si="4"/>
        <v>8</v>
      </c>
      <c r="D226" t="s">
        <v>259</v>
      </c>
      <c r="E226" t="s">
        <v>259</v>
      </c>
      <c r="F226" t="s">
        <v>100</v>
      </c>
      <c r="G226" t="s">
        <v>441</v>
      </c>
      <c r="H226" t="s">
        <v>55</v>
      </c>
      <c r="I226" t="s">
        <v>20</v>
      </c>
      <c r="J226" t="s">
        <v>21</v>
      </c>
      <c r="K226">
        <v>2</v>
      </c>
      <c r="L226" s="3">
        <v>-75.14</v>
      </c>
    </row>
    <row r="227" spans="2:12" hidden="1" x14ac:dyDescent="0.25">
      <c r="B227" t="s">
        <v>259</v>
      </c>
      <c r="C227">
        <f t="shared" si="4"/>
        <v>8</v>
      </c>
      <c r="D227" t="s">
        <v>259</v>
      </c>
      <c r="E227" t="s">
        <v>259</v>
      </c>
      <c r="F227" t="s">
        <v>335</v>
      </c>
      <c r="G227" t="s">
        <v>435</v>
      </c>
      <c r="H227" t="s">
        <v>19</v>
      </c>
      <c r="I227" t="s">
        <v>20</v>
      </c>
      <c r="J227" t="s">
        <v>21</v>
      </c>
      <c r="K227">
        <v>0</v>
      </c>
      <c r="L227" s="3">
        <v>-106.96</v>
      </c>
    </row>
    <row r="228" spans="2:12" hidden="1" x14ac:dyDescent="0.25">
      <c r="B228" t="s">
        <v>260</v>
      </c>
      <c r="C228">
        <f t="shared" si="4"/>
        <v>8</v>
      </c>
      <c r="D228" t="s">
        <v>260</v>
      </c>
      <c r="E228" t="s">
        <v>260</v>
      </c>
      <c r="F228" t="s">
        <v>305</v>
      </c>
      <c r="G228" t="s">
        <v>442</v>
      </c>
      <c r="H228" t="s">
        <v>29</v>
      </c>
      <c r="I228" t="s">
        <v>20</v>
      </c>
      <c r="J228" t="s">
        <v>21</v>
      </c>
      <c r="K228">
        <v>1</v>
      </c>
      <c r="L228" s="3">
        <v>-52.6</v>
      </c>
    </row>
    <row r="229" spans="2:12" hidden="1" x14ac:dyDescent="0.25">
      <c r="B229" t="s">
        <v>260</v>
      </c>
      <c r="C229">
        <f t="shared" si="4"/>
        <v>8</v>
      </c>
      <c r="D229" t="s">
        <v>260</v>
      </c>
      <c r="E229" t="s">
        <v>260</v>
      </c>
      <c r="F229" t="s">
        <v>22</v>
      </c>
      <c r="G229" t="s">
        <v>82</v>
      </c>
      <c r="H229" t="s">
        <v>24</v>
      </c>
      <c r="I229" t="s">
        <v>20</v>
      </c>
      <c r="J229" t="s">
        <v>26</v>
      </c>
      <c r="K229">
        <v>0</v>
      </c>
      <c r="L229" s="3">
        <v>9000</v>
      </c>
    </row>
    <row r="230" spans="2:12" hidden="1" x14ac:dyDescent="0.25">
      <c r="B230" t="s">
        <v>260</v>
      </c>
      <c r="C230">
        <f t="shared" si="4"/>
        <v>8</v>
      </c>
      <c r="D230" t="s">
        <v>260</v>
      </c>
      <c r="E230" t="s">
        <v>260</v>
      </c>
      <c r="F230" t="s">
        <v>336</v>
      </c>
      <c r="G230" t="s">
        <v>89</v>
      </c>
      <c r="H230" t="s">
        <v>29</v>
      </c>
      <c r="I230" t="s">
        <v>20</v>
      </c>
      <c r="J230" t="s">
        <v>21</v>
      </c>
      <c r="K230">
        <v>1</v>
      </c>
      <c r="L230" s="3">
        <v>-113.67</v>
      </c>
    </row>
    <row r="231" spans="2:12" hidden="1" x14ac:dyDescent="0.25">
      <c r="B231" t="s">
        <v>261</v>
      </c>
      <c r="C231">
        <f t="shared" si="4"/>
        <v>8</v>
      </c>
      <c r="D231" t="s">
        <v>261</v>
      </c>
      <c r="E231" t="s">
        <v>261</v>
      </c>
      <c r="F231" t="s">
        <v>337</v>
      </c>
      <c r="G231" t="s">
        <v>443</v>
      </c>
      <c r="H231" t="s">
        <v>38</v>
      </c>
      <c r="I231" t="s">
        <v>20</v>
      </c>
      <c r="J231" t="s">
        <v>21</v>
      </c>
      <c r="K231">
        <v>0</v>
      </c>
      <c r="L231" s="3">
        <v>-210</v>
      </c>
    </row>
    <row r="232" spans="2:12" hidden="1" x14ac:dyDescent="0.25">
      <c r="B232" t="s">
        <v>263</v>
      </c>
      <c r="C232">
        <f t="shared" si="4"/>
        <v>8</v>
      </c>
      <c r="D232" t="s">
        <v>262</v>
      </c>
      <c r="E232" t="s">
        <v>262</v>
      </c>
      <c r="F232" t="s">
        <v>332</v>
      </c>
      <c r="G232" t="s">
        <v>148</v>
      </c>
      <c r="H232" t="s">
        <v>44</v>
      </c>
      <c r="I232" t="s">
        <v>20</v>
      </c>
      <c r="J232" t="s">
        <v>26</v>
      </c>
      <c r="K232">
        <v>0</v>
      </c>
      <c r="L232" s="3">
        <v>3060</v>
      </c>
    </row>
    <row r="233" spans="2:12" hidden="1" x14ac:dyDescent="0.25">
      <c r="B233" t="s">
        <v>262</v>
      </c>
      <c r="C233">
        <f t="shared" si="4"/>
        <v>8</v>
      </c>
      <c r="D233" t="s">
        <v>262</v>
      </c>
      <c r="E233" t="s">
        <v>262</v>
      </c>
      <c r="F233" t="s">
        <v>338</v>
      </c>
      <c r="G233" t="s">
        <v>148</v>
      </c>
      <c r="H233" t="s">
        <v>44</v>
      </c>
      <c r="I233" t="s">
        <v>20</v>
      </c>
      <c r="J233" t="s">
        <v>26</v>
      </c>
      <c r="K233">
        <v>0</v>
      </c>
      <c r="L233" s="3">
        <v>3060</v>
      </c>
    </row>
    <row r="234" spans="2:12" hidden="1" x14ac:dyDescent="0.25">
      <c r="B234" t="s">
        <v>262</v>
      </c>
      <c r="C234">
        <f t="shared" si="4"/>
        <v>8</v>
      </c>
      <c r="D234" t="s">
        <v>262</v>
      </c>
      <c r="E234" t="s">
        <v>262</v>
      </c>
      <c r="F234" t="s">
        <v>45</v>
      </c>
      <c r="G234" t="s">
        <v>162</v>
      </c>
      <c r="H234" t="s">
        <v>19</v>
      </c>
      <c r="I234" t="s">
        <v>20</v>
      </c>
      <c r="J234" t="s">
        <v>21</v>
      </c>
      <c r="K234">
        <v>0</v>
      </c>
      <c r="L234" s="3">
        <v>-200</v>
      </c>
    </row>
    <row r="235" spans="2:12" hidden="1" x14ac:dyDescent="0.25">
      <c r="B235" t="s">
        <v>264</v>
      </c>
      <c r="C235">
        <f t="shared" si="4"/>
        <v>8</v>
      </c>
      <c r="D235" t="s">
        <v>264</v>
      </c>
      <c r="E235" t="s">
        <v>264</v>
      </c>
      <c r="F235" t="s">
        <v>339</v>
      </c>
      <c r="G235" t="s">
        <v>444</v>
      </c>
      <c r="H235" t="s">
        <v>29</v>
      </c>
      <c r="I235" t="s">
        <v>20</v>
      </c>
      <c r="J235" t="s">
        <v>21</v>
      </c>
      <c r="K235">
        <v>0</v>
      </c>
      <c r="L235" s="3">
        <v>-796</v>
      </c>
    </row>
    <row r="236" spans="2:12" hidden="1" x14ac:dyDescent="0.25">
      <c r="B236" t="s">
        <v>265</v>
      </c>
      <c r="C236">
        <f t="shared" si="4"/>
        <v>8</v>
      </c>
      <c r="D236" t="s">
        <v>265</v>
      </c>
      <c r="E236" t="s">
        <v>265</v>
      </c>
      <c r="F236" t="s">
        <v>155</v>
      </c>
      <c r="G236" t="s">
        <v>426</v>
      </c>
      <c r="H236" t="s">
        <v>47</v>
      </c>
      <c r="I236" t="s">
        <v>20</v>
      </c>
      <c r="J236" t="s">
        <v>21</v>
      </c>
      <c r="K236">
        <v>0</v>
      </c>
      <c r="L236" s="3">
        <v>-200</v>
      </c>
    </row>
    <row r="237" spans="2:12" hidden="1" x14ac:dyDescent="0.25">
      <c r="B237" t="s">
        <v>266</v>
      </c>
      <c r="C237">
        <f t="shared" si="4"/>
        <v>8</v>
      </c>
      <c r="D237" t="s">
        <v>266</v>
      </c>
      <c r="E237" t="s">
        <v>266</v>
      </c>
      <c r="F237" t="s">
        <v>328</v>
      </c>
      <c r="G237" t="s">
        <v>433</v>
      </c>
      <c r="H237" t="s">
        <v>19</v>
      </c>
      <c r="I237" t="s">
        <v>20</v>
      </c>
      <c r="J237" t="s">
        <v>21</v>
      </c>
      <c r="K237">
        <v>0</v>
      </c>
      <c r="L237" s="3">
        <v>-32</v>
      </c>
    </row>
    <row r="238" spans="2:12" hidden="1" x14ac:dyDescent="0.25">
      <c r="B238" t="s">
        <v>267</v>
      </c>
      <c r="C238">
        <f t="shared" si="4"/>
        <v>7</v>
      </c>
      <c r="D238" t="s">
        <v>267</v>
      </c>
      <c r="E238" t="s">
        <v>267</v>
      </c>
      <c r="F238" t="s">
        <v>68</v>
      </c>
      <c r="G238" t="s">
        <v>69</v>
      </c>
      <c r="H238" t="s">
        <v>47</v>
      </c>
      <c r="I238" t="s">
        <v>20</v>
      </c>
      <c r="J238" t="s">
        <v>21</v>
      </c>
      <c r="K238">
        <v>0</v>
      </c>
      <c r="L238" s="3">
        <v>-750</v>
      </c>
    </row>
    <row r="239" spans="2:12" hidden="1" x14ac:dyDescent="0.25">
      <c r="B239" t="s">
        <v>268</v>
      </c>
      <c r="C239">
        <f t="shared" si="4"/>
        <v>7</v>
      </c>
      <c r="D239" t="s">
        <v>268</v>
      </c>
      <c r="E239" t="s">
        <v>268</v>
      </c>
      <c r="F239" t="s">
        <v>340</v>
      </c>
      <c r="G239" t="s">
        <v>104</v>
      </c>
      <c r="H239" t="s">
        <v>44</v>
      </c>
      <c r="I239" t="s">
        <v>20</v>
      </c>
      <c r="J239" t="s">
        <v>26</v>
      </c>
      <c r="K239">
        <v>0</v>
      </c>
      <c r="L239" s="3">
        <v>2700</v>
      </c>
    </row>
    <row r="240" spans="2:12" hidden="1" x14ac:dyDescent="0.25">
      <c r="B240" t="s">
        <v>269</v>
      </c>
      <c r="C240">
        <f t="shared" si="4"/>
        <v>7</v>
      </c>
      <c r="D240" t="s">
        <v>269</v>
      </c>
      <c r="E240" t="s">
        <v>269</v>
      </c>
      <c r="F240" t="s">
        <v>341</v>
      </c>
      <c r="G240" t="s">
        <v>148</v>
      </c>
      <c r="H240" t="s">
        <v>44</v>
      </c>
      <c r="I240" t="s">
        <v>20</v>
      </c>
      <c r="J240" t="s">
        <v>26</v>
      </c>
      <c r="K240">
        <v>0</v>
      </c>
      <c r="L240" s="3">
        <v>3060</v>
      </c>
    </row>
    <row r="241" spans="2:12" hidden="1" x14ac:dyDescent="0.25">
      <c r="B241" t="s">
        <v>270</v>
      </c>
      <c r="C241">
        <f t="shared" si="4"/>
        <v>7</v>
      </c>
      <c r="D241" t="s">
        <v>270</v>
      </c>
      <c r="E241" t="s">
        <v>270</v>
      </c>
      <c r="F241" t="s">
        <v>155</v>
      </c>
      <c r="G241" t="s">
        <v>445</v>
      </c>
      <c r="H241" t="s">
        <v>47</v>
      </c>
      <c r="I241" t="s">
        <v>20</v>
      </c>
      <c r="J241" t="s">
        <v>21</v>
      </c>
      <c r="K241">
        <v>0</v>
      </c>
      <c r="L241" s="3">
        <v>-130</v>
      </c>
    </row>
    <row r="242" spans="2:12" hidden="1" x14ac:dyDescent="0.25">
      <c r="B242" t="s">
        <v>271</v>
      </c>
      <c r="C242">
        <f t="shared" si="4"/>
        <v>7</v>
      </c>
      <c r="D242" t="s">
        <v>271</v>
      </c>
      <c r="E242" t="s">
        <v>271</v>
      </c>
      <c r="F242" t="s">
        <v>127</v>
      </c>
      <c r="G242" t="s">
        <v>128</v>
      </c>
      <c r="H242" t="s">
        <v>79</v>
      </c>
      <c r="I242" t="s">
        <v>20</v>
      </c>
      <c r="J242" t="s">
        <v>21</v>
      </c>
      <c r="K242">
        <v>0</v>
      </c>
      <c r="L242" s="3">
        <v>-1500</v>
      </c>
    </row>
    <row r="243" spans="2:12" hidden="1" x14ac:dyDescent="0.25">
      <c r="B243" t="s">
        <v>272</v>
      </c>
      <c r="C243">
        <f t="shared" si="4"/>
        <v>7</v>
      </c>
      <c r="D243" t="s">
        <v>271</v>
      </c>
      <c r="E243" t="s">
        <v>271</v>
      </c>
      <c r="F243" t="s">
        <v>342</v>
      </c>
      <c r="G243" t="s">
        <v>446</v>
      </c>
      <c r="H243" t="s">
        <v>47</v>
      </c>
      <c r="I243" t="s">
        <v>20</v>
      </c>
      <c r="J243" t="s">
        <v>21</v>
      </c>
      <c r="K243">
        <v>1</v>
      </c>
      <c r="L243" s="3">
        <v>-80</v>
      </c>
    </row>
    <row r="244" spans="2:12" hidden="1" x14ac:dyDescent="0.25">
      <c r="B244" t="s">
        <v>271</v>
      </c>
      <c r="C244">
        <f t="shared" ref="C244:C275" si="5">MONTH(B244)</f>
        <v>7</v>
      </c>
      <c r="D244" t="s">
        <v>271</v>
      </c>
      <c r="E244" t="s">
        <v>271</v>
      </c>
      <c r="F244" t="s">
        <v>131</v>
      </c>
      <c r="G244" t="s">
        <v>128</v>
      </c>
      <c r="H244" t="s">
        <v>79</v>
      </c>
      <c r="I244" t="s">
        <v>20</v>
      </c>
      <c r="J244" t="s">
        <v>21</v>
      </c>
      <c r="K244">
        <v>0</v>
      </c>
      <c r="L244" s="3">
        <v>-1500</v>
      </c>
    </row>
    <row r="245" spans="2:12" hidden="1" x14ac:dyDescent="0.25">
      <c r="B245" t="s">
        <v>271</v>
      </c>
      <c r="C245">
        <f t="shared" si="5"/>
        <v>7</v>
      </c>
      <c r="D245" t="s">
        <v>498</v>
      </c>
      <c r="E245" t="s">
        <v>498</v>
      </c>
      <c r="F245" t="s">
        <v>129</v>
      </c>
      <c r="G245" t="s">
        <v>447</v>
      </c>
      <c r="H245" t="s">
        <v>79</v>
      </c>
      <c r="I245" t="s">
        <v>20</v>
      </c>
      <c r="J245" t="s">
        <v>21</v>
      </c>
      <c r="K245">
        <v>1</v>
      </c>
      <c r="L245" s="3">
        <v>-550</v>
      </c>
    </row>
    <row r="246" spans="2:12" hidden="1" x14ac:dyDescent="0.25">
      <c r="B246" t="s">
        <v>273</v>
      </c>
      <c r="C246">
        <f t="shared" si="5"/>
        <v>7</v>
      </c>
      <c r="D246" t="s">
        <v>273</v>
      </c>
      <c r="E246" t="s">
        <v>273</v>
      </c>
      <c r="F246" t="s">
        <v>114</v>
      </c>
      <c r="G246" t="s">
        <v>448</v>
      </c>
      <c r="H246" t="s">
        <v>19</v>
      </c>
      <c r="I246" t="s">
        <v>20</v>
      </c>
      <c r="J246" t="s">
        <v>21</v>
      </c>
      <c r="K246">
        <v>1</v>
      </c>
      <c r="L246" s="3">
        <v>-72.349999999999994</v>
      </c>
    </row>
    <row r="247" spans="2:12" hidden="1" x14ac:dyDescent="0.25">
      <c r="B247" t="s">
        <v>273</v>
      </c>
      <c r="C247">
        <f t="shared" si="5"/>
        <v>7</v>
      </c>
      <c r="D247" t="s">
        <v>273</v>
      </c>
      <c r="E247" t="s">
        <v>273</v>
      </c>
      <c r="F247" t="s">
        <v>343</v>
      </c>
      <c r="G247" t="s">
        <v>449</v>
      </c>
      <c r="H247" t="s">
        <v>47</v>
      </c>
      <c r="I247" t="s">
        <v>20</v>
      </c>
      <c r="J247" t="s">
        <v>21</v>
      </c>
      <c r="K247">
        <v>0</v>
      </c>
      <c r="L247" s="3">
        <v>-1000</v>
      </c>
    </row>
    <row r="248" spans="2:12" hidden="1" x14ac:dyDescent="0.25">
      <c r="B248" t="s">
        <v>273</v>
      </c>
      <c r="C248">
        <f t="shared" si="5"/>
        <v>7</v>
      </c>
      <c r="D248" t="s">
        <v>273</v>
      </c>
      <c r="E248" t="s">
        <v>273</v>
      </c>
      <c r="F248" t="s">
        <v>344</v>
      </c>
      <c r="G248" t="s">
        <v>450</v>
      </c>
      <c r="H248" t="s">
        <v>55</v>
      </c>
      <c r="I248" t="s">
        <v>20</v>
      </c>
      <c r="J248" t="s">
        <v>21</v>
      </c>
      <c r="K248">
        <v>0</v>
      </c>
      <c r="L248" s="3">
        <v>-52.35</v>
      </c>
    </row>
    <row r="249" spans="2:12" hidden="1" x14ac:dyDescent="0.25">
      <c r="B249" t="s">
        <v>273</v>
      </c>
      <c r="C249">
        <f t="shared" si="5"/>
        <v>7</v>
      </c>
      <c r="D249" t="s">
        <v>273</v>
      </c>
      <c r="E249" t="s">
        <v>273</v>
      </c>
      <c r="F249" t="s">
        <v>345</v>
      </c>
      <c r="G249" t="s">
        <v>451</v>
      </c>
      <c r="H249" t="s">
        <v>19</v>
      </c>
      <c r="I249" t="s">
        <v>20</v>
      </c>
      <c r="J249" t="s">
        <v>21</v>
      </c>
      <c r="K249">
        <v>1</v>
      </c>
      <c r="L249" s="3">
        <v>-15.99</v>
      </c>
    </row>
    <row r="250" spans="2:12" hidden="1" x14ac:dyDescent="0.25">
      <c r="B250" t="s">
        <v>273</v>
      </c>
      <c r="C250">
        <f t="shared" si="5"/>
        <v>7</v>
      </c>
      <c r="D250" t="s">
        <v>273</v>
      </c>
      <c r="E250" t="s">
        <v>273</v>
      </c>
      <c r="F250" t="s">
        <v>346</v>
      </c>
      <c r="G250" t="s">
        <v>450</v>
      </c>
      <c r="H250" t="s">
        <v>55</v>
      </c>
      <c r="I250" t="s">
        <v>20</v>
      </c>
      <c r="J250" t="s">
        <v>21</v>
      </c>
      <c r="K250">
        <v>0</v>
      </c>
      <c r="L250" s="3">
        <v>-83</v>
      </c>
    </row>
    <row r="251" spans="2:12" hidden="1" x14ac:dyDescent="0.25">
      <c r="B251" t="s">
        <v>273</v>
      </c>
      <c r="C251">
        <f t="shared" si="5"/>
        <v>7</v>
      </c>
      <c r="D251" t="s">
        <v>273</v>
      </c>
      <c r="E251" t="s">
        <v>273</v>
      </c>
      <c r="F251" t="s">
        <v>110</v>
      </c>
      <c r="G251" t="s">
        <v>452</v>
      </c>
      <c r="H251" t="s">
        <v>55</v>
      </c>
      <c r="I251" t="s">
        <v>20</v>
      </c>
      <c r="J251" t="s">
        <v>21</v>
      </c>
      <c r="K251">
        <v>0</v>
      </c>
      <c r="L251" s="3">
        <v>-300</v>
      </c>
    </row>
    <row r="252" spans="2:12" hidden="1" x14ac:dyDescent="0.25">
      <c r="B252" t="s">
        <v>273</v>
      </c>
      <c r="C252">
        <f t="shared" si="5"/>
        <v>7</v>
      </c>
      <c r="D252" t="s">
        <v>273</v>
      </c>
      <c r="E252" t="s">
        <v>273</v>
      </c>
      <c r="F252" t="s">
        <v>347</v>
      </c>
      <c r="G252" t="s">
        <v>453</v>
      </c>
      <c r="H252" t="s">
        <v>19</v>
      </c>
      <c r="I252" t="s">
        <v>20</v>
      </c>
      <c r="J252" t="s">
        <v>21</v>
      </c>
      <c r="K252">
        <v>1</v>
      </c>
      <c r="L252" s="3">
        <v>-44.95</v>
      </c>
    </row>
    <row r="253" spans="2:12" hidden="1" x14ac:dyDescent="0.25">
      <c r="B253" t="s">
        <v>273</v>
      </c>
      <c r="C253">
        <f t="shared" si="5"/>
        <v>7</v>
      </c>
      <c r="D253" t="s">
        <v>273</v>
      </c>
      <c r="E253" t="s">
        <v>273</v>
      </c>
      <c r="F253" t="s">
        <v>53</v>
      </c>
      <c r="G253" t="s">
        <v>450</v>
      </c>
      <c r="H253" t="s">
        <v>47</v>
      </c>
      <c r="I253" t="s">
        <v>20</v>
      </c>
      <c r="J253" t="s">
        <v>21</v>
      </c>
      <c r="K253">
        <v>1</v>
      </c>
      <c r="L253" s="3">
        <v>-219</v>
      </c>
    </row>
    <row r="254" spans="2:12" hidden="1" x14ac:dyDescent="0.25">
      <c r="B254" t="s">
        <v>272</v>
      </c>
      <c r="C254">
        <f t="shared" si="5"/>
        <v>7</v>
      </c>
      <c r="D254" t="s">
        <v>272</v>
      </c>
      <c r="E254" t="s">
        <v>272</v>
      </c>
      <c r="F254" t="s">
        <v>348</v>
      </c>
      <c r="G254" t="s">
        <v>454</v>
      </c>
      <c r="H254" t="s">
        <v>19</v>
      </c>
      <c r="I254" t="s">
        <v>20</v>
      </c>
      <c r="J254" t="s">
        <v>21</v>
      </c>
      <c r="K254">
        <v>1</v>
      </c>
      <c r="L254" s="3">
        <v>-88.94</v>
      </c>
    </row>
    <row r="255" spans="2:12" hidden="1" x14ac:dyDescent="0.25">
      <c r="B255" t="s">
        <v>234</v>
      </c>
      <c r="C255">
        <f t="shared" si="5"/>
        <v>9</v>
      </c>
      <c r="D255" t="s">
        <v>272</v>
      </c>
      <c r="E255" t="s">
        <v>272</v>
      </c>
      <c r="F255" t="s">
        <v>118</v>
      </c>
      <c r="G255" t="s">
        <v>455</v>
      </c>
      <c r="H255" t="s">
        <v>19</v>
      </c>
      <c r="I255" t="s">
        <v>20</v>
      </c>
      <c r="J255" t="s">
        <v>21</v>
      </c>
      <c r="K255">
        <v>1</v>
      </c>
      <c r="L255" s="3">
        <v>-129.87</v>
      </c>
    </row>
    <row r="256" spans="2:12" hidden="1" x14ac:dyDescent="0.25">
      <c r="B256" t="s">
        <v>272</v>
      </c>
      <c r="C256">
        <f t="shared" si="5"/>
        <v>7</v>
      </c>
      <c r="D256" t="s">
        <v>272</v>
      </c>
      <c r="E256" t="s">
        <v>272</v>
      </c>
      <c r="F256" t="s">
        <v>349</v>
      </c>
      <c r="G256" t="s">
        <v>450</v>
      </c>
      <c r="H256" t="s">
        <v>55</v>
      </c>
      <c r="I256" t="s">
        <v>20</v>
      </c>
      <c r="J256" t="s">
        <v>21</v>
      </c>
      <c r="K256">
        <v>0</v>
      </c>
      <c r="L256" s="3">
        <v>-112.46</v>
      </c>
    </row>
    <row r="257" spans="2:12" hidden="1" x14ac:dyDescent="0.25">
      <c r="B257" t="s">
        <v>272</v>
      </c>
      <c r="C257">
        <f t="shared" si="5"/>
        <v>7</v>
      </c>
      <c r="D257" t="s">
        <v>272</v>
      </c>
      <c r="E257" t="s">
        <v>272</v>
      </c>
      <c r="F257" t="s">
        <v>350</v>
      </c>
      <c r="G257" t="s">
        <v>456</v>
      </c>
      <c r="H257" t="s">
        <v>29</v>
      </c>
      <c r="I257" t="s">
        <v>20</v>
      </c>
      <c r="J257" t="s">
        <v>21</v>
      </c>
      <c r="K257">
        <v>1</v>
      </c>
      <c r="L257" s="3">
        <v>-34.479999999999997</v>
      </c>
    </row>
    <row r="258" spans="2:12" hidden="1" x14ac:dyDescent="0.25">
      <c r="B258" t="s">
        <v>272</v>
      </c>
      <c r="C258">
        <f t="shared" si="5"/>
        <v>7</v>
      </c>
      <c r="D258" t="s">
        <v>272</v>
      </c>
      <c r="E258" t="s">
        <v>272</v>
      </c>
      <c r="F258" t="s">
        <v>110</v>
      </c>
      <c r="G258" t="s">
        <v>452</v>
      </c>
      <c r="H258" t="s">
        <v>55</v>
      </c>
      <c r="I258" t="s">
        <v>20</v>
      </c>
      <c r="J258" t="s">
        <v>21</v>
      </c>
      <c r="K258">
        <v>0</v>
      </c>
      <c r="L258" s="3">
        <v>-100</v>
      </c>
    </row>
    <row r="259" spans="2:12" hidden="1" x14ac:dyDescent="0.25">
      <c r="B259" t="s">
        <v>272</v>
      </c>
      <c r="C259">
        <f t="shared" si="5"/>
        <v>7</v>
      </c>
      <c r="D259" t="s">
        <v>272</v>
      </c>
      <c r="E259" t="s">
        <v>272</v>
      </c>
      <c r="F259" t="s">
        <v>339</v>
      </c>
      <c r="G259" t="s">
        <v>457</v>
      </c>
      <c r="H259" t="s">
        <v>55</v>
      </c>
      <c r="I259" t="s">
        <v>20</v>
      </c>
      <c r="J259" t="s">
        <v>21</v>
      </c>
      <c r="K259">
        <v>0</v>
      </c>
      <c r="L259" s="3">
        <v>-475</v>
      </c>
    </row>
    <row r="260" spans="2:12" hidden="1" x14ac:dyDescent="0.25">
      <c r="B260" t="s">
        <v>272</v>
      </c>
      <c r="C260">
        <f t="shared" si="5"/>
        <v>7</v>
      </c>
      <c r="D260" t="s">
        <v>272</v>
      </c>
      <c r="E260" t="s">
        <v>272</v>
      </c>
      <c r="F260" t="s">
        <v>344</v>
      </c>
      <c r="G260" t="s">
        <v>450</v>
      </c>
      <c r="H260" t="s">
        <v>55</v>
      </c>
      <c r="I260" t="s">
        <v>20</v>
      </c>
      <c r="J260" t="s">
        <v>21</v>
      </c>
      <c r="K260">
        <v>0</v>
      </c>
      <c r="L260" s="3">
        <v>-20</v>
      </c>
    </row>
    <row r="261" spans="2:12" hidden="1" x14ac:dyDescent="0.25">
      <c r="B261" t="s">
        <v>274</v>
      </c>
      <c r="C261">
        <f t="shared" si="5"/>
        <v>7</v>
      </c>
      <c r="D261" t="s">
        <v>274</v>
      </c>
      <c r="E261" t="s">
        <v>274</v>
      </c>
      <c r="F261" t="s">
        <v>351</v>
      </c>
      <c r="G261" t="s">
        <v>450</v>
      </c>
      <c r="H261" t="s">
        <v>55</v>
      </c>
      <c r="I261" t="s">
        <v>20</v>
      </c>
      <c r="J261" t="s">
        <v>21</v>
      </c>
      <c r="K261">
        <v>0</v>
      </c>
      <c r="L261" s="3">
        <v>-119.97</v>
      </c>
    </row>
    <row r="262" spans="2:12" hidden="1" x14ac:dyDescent="0.25">
      <c r="B262" t="s">
        <v>238</v>
      </c>
      <c r="C262">
        <f t="shared" si="5"/>
        <v>9</v>
      </c>
      <c r="D262" t="s">
        <v>238</v>
      </c>
      <c r="E262" t="s">
        <v>238</v>
      </c>
      <c r="F262" t="s">
        <v>107</v>
      </c>
      <c r="G262" t="s">
        <v>419</v>
      </c>
      <c r="H262" t="s">
        <v>19</v>
      </c>
      <c r="I262" t="s">
        <v>20</v>
      </c>
      <c r="J262" t="s">
        <v>21</v>
      </c>
      <c r="K262">
        <v>0</v>
      </c>
      <c r="L262" s="3">
        <v>-24.9</v>
      </c>
    </row>
    <row r="263" spans="2:12" hidden="1" x14ac:dyDescent="0.25">
      <c r="B263" t="s">
        <v>275</v>
      </c>
      <c r="C263">
        <f t="shared" si="5"/>
        <v>7</v>
      </c>
      <c r="D263" t="s">
        <v>275</v>
      </c>
      <c r="E263" t="s">
        <v>275</v>
      </c>
      <c r="F263" t="s">
        <v>352</v>
      </c>
      <c r="G263" t="s">
        <v>89</v>
      </c>
      <c r="H263" t="s">
        <v>19</v>
      </c>
      <c r="I263" t="s">
        <v>20</v>
      </c>
      <c r="J263" t="s">
        <v>21</v>
      </c>
      <c r="K263">
        <v>1</v>
      </c>
      <c r="L263" s="3">
        <v>-82.11</v>
      </c>
    </row>
    <row r="264" spans="2:12" hidden="1" x14ac:dyDescent="0.25">
      <c r="B264" t="s">
        <v>276</v>
      </c>
      <c r="C264">
        <f t="shared" si="5"/>
        <v>6</v>
      </c>
      <c r="D264" t="s">
        <v>276</v>
      </c>
      <c r="E264" t="s">
        <v>276</v>
      </c>
      <c r="F264" t="s">
        <v>353</v>
      </c>
      <c r="G264" t="s">
        <v>458</v>
      </c>
      <c r="H264" t="s">
        <v>47</v>
      </c>
      <c r="I264" t="s">
        <v>20</v>
      </c>
      <c r="J264" t="s">
        <v>21</v>
      </c>
      <c r="K264">
        <v>0</v>
      </c>
      <c r="L264" s="3">
        <v>-1550</v>
      </c>
    </row>
    <row r="265" spans="2:12" hidden="1" x14ac:dyDescent="0.25">
      <c r="B265" t="s">
        <v>277</v>
      </c>
      <c r="C265">
        <f t="shared" si="5"/>
        <v>6</v>
      </c>
      <c r="D265" t="s">
        <v>277</v>
      </c>
      <c r="E265" t="s">
        <v>277</v>
      </c>
      <c r="F265" t="s">
        <v>354</v>
      </c>
      <c r="G265" t="s">
        <v>459</v>
      </c>
      <c r="H265" t="s">
        <v>29</v>
      </c>
      <c r="I265" t="s">
        <v>20</v>
      </c>
      <c r="J265" t="s">
        <v>21</v>
      </c>
      <c r="K265">
        <v>0</v>
      </c>
      <c r="L265" s="3">
        <v>-1473.81</v>
      </c>
    </row>
    <row r="266" spans="2:12" hidden="1" x14ac:dyDescent="0.25">
      <c r="B266" t="s">
        <v>277</v>
      </c>
      <c r="C266">
        <f t="shared" si="5"/>
        <v>6</v>
      </c>
      <c r="D266" t="s">
        <v>277</v>
      </c>
      <c r="E266" t="s">
        <v>277</v>
      </c>
      <c r="F266" t="s">
        <v>354</v>
      </c>
      <c r="G266" t="s">
        <v>460</v>
      </c>
      <c r="H266" t="s">
        <v>29</v>
      </c>
      <c r="I266" t="s">
        <v>20</v>
      </c>
      <c r="J266" t="s">
        <v>21</v>
      </c>
      <c r="K266">
        <v>0</v>
      </c>
      <c r="L266" s="3">
        <v>-280.89999999999998</v>
      </c>
    </row>
    <row r="267" spans="2:12" hidden="1" x14ac:dyDescent="0.25">
      <c r="B267" t="s">
        <v>277</v>
      </c>
      <c r="C267">
        <f t="shared" si="5"/>
        <v>6</v>
      </c>
      <c r="D267" t="s">
        <v>277</v>
      </c>
      <c r="E267" t="s">
        <v>277</v>
      </c>
      <c r="F267" t="s">
        <v>355</v>
      </c>
      <c r="G267" t="s">
        <v>461</v>
      </c>
      <c r="H267" t="s">
        <v>483</v>
      </c>
      <c r="I267" t="s">
        <v>20</v>
      </c>
      <c r="J267" t="s">
        <v>21</v>
      </c>
      <c r="K267">
        <v>0</v>
      </c>
      <c r="L267" s="3">
        <v>-350</v>
      </c>
    </row>
    <row r="268" spans="2:12" hidden="1" x14ac:dyDescent="0.25">
      <c r="B268" t="s">
        <v>278</v>
      </c>
      <c r="C268">
        <f t="shared" si="5"/>
        <v>6</v>
      </c>
      <c r="D268" t="s">
        <v>278</v>
      </c>
      <c r="E268" t="s">
        <v>278</v>
      </c>
      <c r="F268" t="s">
        <v>354</v>
      </c>
      <c r="G268" t="s">
        <v>462</v>
      </c>
      <c r="H268" t="s">
        <v>29</v>
      </c>
      <c r="I268" t="s">
        <v>20</v>
      </c>
      <c r="J268" t="s">
        <v>21</v>
      </c>
      <c r="K268">
        <v>0</v>
      </c>
      <c r="L268" s="3">
        <v>-699.99</v>
      </c>
    </row>
    <row r="269" spans="2:12" hidden="1" x14ac:dyDescent="0.25">
      <c r="B269" t="s">
        <v>278</v>
      </c>
      <c r="C269">
        <f t="shared" si="5"/>
        <v>6</v>
      </c>
      <c r="D269" t="s">
        <v>278</v>
      </c>
      <c r="E269" t="s">
        <v>278</v>
      </c>
      <c r="F269" t="s">
        <v>356</v>
      </c>
      <c r="G269" t="s">
        <v>463</v>
      </c>
      <c r="H269" t="s">
        <v>47</v>
      </c>
      <c r="I269" t="s">
        <v>20</v>
      </c>
      <c r="J269" t="s">
        <v>21</v>
      </c>
      <c r="K269">
        <v>1</v>
      </c>
      <c r="L269" s="3">
        <v>-9.89</v>
      </c>
    </row>
    <row r="270" spans="2:12" hidden="1" x14ac:dyDescent="0.25">
      <c r="B270" t="s">
        <v>278</v>
      </c>
      <c r="C270">
        <f t="shared" si="5"/>
        <v>6</v>
      </c>
      <c r="D270" t="s">
        <v>278</v>
      </c>
      <c r="E270" t="s">
        <v>278</v>
      </c>
      <c r="F270" t="s">
        <v>357</v>
      </c>
      <c r="G270" t="s">
        <v>464</v>
      </c>
      <c r="H270" t="s">
        <v>47</v>
      </c>
      <c r="I270" t="s">
        <v>20</v>
      </c>
      <c r="J270" t="s">
        <v>21</v>
      </c>
      <c r="K270">
        <v>1</v>
      </c>
      <c r="L270" s="3">
        <v>-265.68</v>
      </c>
    </row>
    <row r="271" spans="2:12" hidden="1" x14ac:dyDescent="0.25">
      <c r="B271" t="s">
        <v>278</v>
      </c>
      <c r="C271">
        <f t="shared" si="5"/>
        <v>6</v>
      </c>
      <c r="D271" t="s">
        <v>278</v>
      </c>
      <c r="E271" t="s">
        <v>278</v>
      </c>
      <c r="F271" t="s">
        <v>356</v>
      </c>
      <c r="G271" t="s">
        <v>440</v>
      </c>
      <c r="H271" t="s">
        <v>55</v>
      </c>
      <c r="I271" t="s">
        <v>20</v>
      </c>
      <c r="J271" t="s">
        <v>21</v>
      </c>
      <c r="K271">
        <v>0</v>
      </c>
      <c r="L271" s="3">
        <v>-265.68</v>
      </c>
    </row>
    <row r="272" spans="2:12" hidden="1" x14ac:dyDescent="0.25">
      <c r="B272" t="s">
        <v>278</v>
      </c>
      <c r="C272">
        <f t="shared" si="5"/>
        <v>6</v>
      </c>
      <c r="D272" t="s">
        <v>278</v>
      </c>
      <c r="E272" t="s">
        <v>278</v>
      </c>
      <c r="F272" t="s">
        <v>358</v>
      </c>
      <c r="G272" t="s">
        <v>465</v>
      </c>
      <c r="H272" t="s">
        <v>483</v>
      </c>
      <c r="I272" t="s">
        <v>20</v>
      </c>
      <c r="J272" t="s">
        <v>21</v>
      </c>
      <c r="K272">
        <v>0</v>
      </c>
      <c r="L272" s="3">
        <v>-600</v>
      </c>
    </row>
    <row r="273" spans="2:12" hidden="1" x14ac:dyDescent="0.25">
      <c r="B273" t="s">
        <v>279</v>
      </c>
      <c r="C273">
        <f t="shared" si="5"/>
        <v>6</v>
      </c>
      <c r="D273" t="s">
        <v>279</v>
      </c>
      <c r="E273" t="s">
        <v>279</v>
      </c>
      <c r="F273" t="s">
        <v>359</v>
      </c>
      <c r="G273" t="s">
        <v>433</v>
      </c>
      <c r="H273" t="s">
        <v>19</v>
      </c>
      <c r="I273" t="s">
        <v>20</v>
      </c>
      <c r="J273" t="s">
        <v>21</v>
      </c>
      <c r="K273">
        <v>0</v>
      </c>
      <c r="L273" s="3">
        <v>-76</v>
      </c>
    </row>
    <row r="274" spans="2:12" hidden="1" x14ac:dyDescent="0.25">
      <c r="B274" t="s">
        <v>279</v>
      </c>
      <c r="C274">
        <f t="shared" si="5"/>
        <v>6</v>
      </c>
      <c r="D274" t="s">
        <v>279</v>
      </c>
      <c r="E274" t="s">
        <v>279</v>
      </c>
      <c r="F274" t="s">
        <v>360</v>
      </c>
      <c r="G274" t="s">
        <v>89</v>
      </c>
      <c r="H274" t="s">
        <v>29</v>
      </c>
      <c r="I274" t="s">
        <v>20</v>
      </c>
      <c r="J274" t="s">
        <v>21</v>
      </c>
      <c r="K274">
        <v>1</v>
      </c>
      <c r="L274" s="3">
        <v>-94.88</v>
      </c>
    </row>
    <row r="275" spans="2:12" hidden="1" x14ac:dyDescent="0.25">
      <c r="B275" t="s">
        <v>279</v>
      </c>
      <c r="C275">
        <f t="shared" si="5"/>
        <v>6</v>
      </c>
      <c r="D275" t="s">
        <v>279</v>
      </c>
      <c r="E275" t="s">
        <v>279</v>
      </c>
      <c r="F275" t="s">
        <v>361</v>
      </c>
      <c r="G275" t="s">
        <v>466</v>
      </c>
      <c r="H275" t="s">
        <v>483</v>
      </c>
      <c r="I275" t="s">
        <v>20</v>
      </c>
      <c r="J275" t="s">
        <v>21</v>
      </c>
      <c r="K275">
        <v>0</v>
      </c>
      <c r="L275" s="3">
        <v>-1344</v>
      </c>
    </row>
    <row r="276" spans="2:12" hidden="1" x14ac:dyDescent="0.25">
      <c r="B276" t="s">
        <v>279</v>
      </c>
      <c r="C276">
        <f t="shared" ref="C276:C307" si="6">MONTH(B276)</f>
        <v>6</v>
      </c>
      <c r="D276" t="s">
        <v>279</v>
      </c>
      <c r="E276" t="s">
        <v>279</v>
      </c>
      <c r="F276" t="s">
        <v>362</v>
      </c>
      <c r="G276" t="s">
        <v>467</v>
      </c>
      <c r="H276" t="s">
        <v>29</v>
      </c>
      <c r="I276" t="s">
        <v>20</v>
      </c>
      <c r="J276" t="s">
        <v>21</v>
      </c>
      <c r="K276">
        <v>1</v>
      </c>
      <c r="L276" s="3">
        <v>-27.99</v>
      </c>
    </row>
    <row r="277" spans="2:12" hidden="1" x14ac:dyDescent="0.25">
      <c r="B277" t="s">
        <v>280</v>
      </c>
      <c r="C277">
        <f t="shared" si="6"/>
        <v>6</v>
      </c>
      <c r="D277" t="s">
        <v>280</v>
      </c>
      <c r="E277" t="s">
        <v>280</v>
      </c>
      <c r="F277" t="s">
        <v>131</v>
      </c>
      <c r="G277" t="s">
        <v>128</v>
      </c>
      <c r="H277" t="s">
        <v>79</v>
      </c>
      <c r="I277" t="s">
        <v>20</v>
      </c>
      <c r="J277" t="s">
        <v>21</v>
      </c>
      <c r="K277">
        <v>0</v>
      </c>
      <c r="L277" s="3">
        <v>-1500</v>
      </c>
    </row>
    <row r="278" spans="2:12" hidden="1" x14ac:dyDescent="0.25">
      <c r="B278" t="s">
        <v>280</v>
      </c>
      <c r="C278">
        <f t="shared" si="6"/>
        <v>6</v>
      </c>
      <c r="D278" t="s">
        <v>280</v>
      </c>
      <c r="E278" t="s">
        <v>280</v>
      </c>
      <c r="F278" t="s">
        <v>363</v>
      </c>
      <c r="G278" t="s">
        <v>468</v>
      </c>
      <c r="H278" t="s">
        <v>484</v>
      </c>
      <c r="I278" t="s">
        <v>20</v>
      </c>
      <c r="J278" t="s">
        <v>26</v>
      </c>
      <c r="K278">
        <v>0</v>
      </c>
      <c r="L278" s="3">
        <v>20000</v>
      </c>
    </row>
    <row r="279" spans="2:12" hidden="1" x14ac:dyDescent="0.25">
      <c r="B279" t="s">
        <v>280</v>
      </c>
      <c r="C279">
        <f t="shared" si="6"/>
        <v>6</v>
      </c>
      <c r="D279" t="s">
        <v>280</v>
      </c>
      <c r="E279" t="s">
        <v>280</v>
      </c>
      <c r="F279" t="s">
        <v>127</v>
      </c>
      <c r="G279" t="s">
        <v>128</v>
      </c>
      <c r="H279" t="s">
        <v>79</v>
      </c>
      <c r="I279" t="s">
        <v>20</v>
      </c>
      <c r="J279" t="s">
        <v>21</v>
      </c>
      <c r="K279">
        <v>0</v>
      </c>
      <c r="L279" s="3">
        <v>-1500</v>
      </c>
    </row>
    <row r="280" spans="2:12" hidden="1" x14ac:dyDescent="0.25">
      <c r="B280" t="s">
        <v>280</v>
      </c>
      <c r="C280">
        <f t="shared" si="6"/>
        <v>6</v>
      </c>
      <c r="D280" t="s">
        <v>280</v>
      </c>
      <c r="E280" t="s">
        <v>280</v>
      </c>
      <c r="F280" t="s">
        <v>48</v>
      </c>
      <c r="G280" t="s">
        <v>469</v>
      </c>
      <c r="H280" t="s">
        <v>484</v>
      </c>
      <c r="I280" t="s">
        <v>20</v>
      </c>
      <c r="J280" t="s">
        <v>26</v>
      </c>
      <c r="K280">
        <v>0</v>
      </c>
      <c r="L280" s="3">
        <v>1000</v>
      </c>
    </row>
    <row r="281" spans="2:12" hidden="1" x14ac:dyDescent="0.25">
      <c r="B281" t="s">
        <v>281</v>
      </c>
      <c r="C281">
        <f t="shared" si="6"/>
        <v>6</v>
      </c>
      <c r="D281" t="s">
        <v>281</v>
      </c>
      <c r="E281" t="s">
        <v>281</v>
      </c>
      <c r="F281" t="s">
        <v>364</v>
      </c>
      <c r="G281" t="s">
        <v>440</v>
      </c>
      <c r="H281" t="s">
        <v>47</v>
      </c>
      <c r="I281" t="s">
        <v>20</v>
      </c>
      <c r="J281" t="s">
        <v>21</v>
      </c>
      <c r="K281">
        <v>0</v>
      </c>
      <c r="L281" s="3">
        <v>-1.6</v>
      </c>
    </row>
    <row r="282" spans="2:12" hidden="1" x14ac:dyDescent="0.25">
      <c r="B282" t="s">
        <v>280</v>
      </c>
      <c r="C282">
        <f t="shared" si="6"/>
        <v>6</v>
      </c>
      <c r="D282" t="s">
        <v>282</v>
      </c>
      <c r="E282" t="s">
        <v>282</v>
      </c>
      <c r="F282" t="s">
        <v>129</v>
      </c>
      <c r="G282" t="s">
        <v>470</v>
      </c>
      <c r="H282" t="s">
        <v>79</v>
      </c>
      <c r="I282" t="s">
        <v>20</v>
      </c>
      <c r="J282" t="s">
        <v>21</v>
      </c>
      <c r="K282">
        <v>1</v>
      </c>
      <c r="L282" s="3">
        <v>-550</v>
      </c>
    </row>
    <row r="283" spans="2:12" hidden="1" x14ac:dyDescent="0.25">
      <c r="B283" t="s">
        <v>282</v>
      </c>
      <c r="C283">
        <f t="shared" si="6"/>
        <v>6</v>
      </c>
      <c r="D283" t="s">
        <v>282</v>
      </c>
      <c r="E283" t="s">
        <v>282</v>
      </c>
      <c r="F283" t="s">
        <v>182</v>
      </c>
      <c r="G283" t="s">
        <v>471</v>
      </c>
      <c r="H283" t="s">
        <v>183</v>
      </c>
      <c r="I283" t="s">
        <v>20</v>
      </c>
      <c r="J283" t="s">
        <v>21</v>
      </c>
      <c r="K283">
        <v>0</v>
      </c>
      <c r="L283" s="3">
        <v>-37.9</v>
      </c>
    </row>
    <row r="284" spans="2:12" hidden="1" x14ac:dyDescent="0.25">
      <c r="B284" t="s">
        <v>283</v>
      </c>
      <c r="C284">
        <f t="shared" si="6"/>
        <v>6</v>
      </c>
      <c r="D284" t="s">
        <v>283</v>
      </c>
      <c r="E284" t="s">
        <v>283</v>
      </c>
      <c r="F284" t="s">
        <v>182</v>
      </c>
      <c r="G284" t="s">
        <v>472</v>
      </c>
      <c r="H284" t="s">
        <v>183</v>
      </c>
      <c r="I284" t="s">
        <v>20</v>
      </c>
      <c r="J284" t="s">
        <v>21</v>
      </c>
      <c r="K284">
        <v>0</v>
      </c>
      <c r="L284" s="3">
        <v>-86.8</v>
      </c>
    </row>
    <row r="285" spans="2:12" hidden="1" x14ac:dyDescent="0.25">
      <c r="B285" t="s">
        <v>283</v>
      </c>
      <c r="C285">
        <f t="shared" si="6"/>
        <v>6</v>
      </c>
      <c r="D285" t="s">
        <v>283</v>
      </c>
      <c r="E285" t="s">
        <v>283</v>
      </c>
      <c r="F285" t="s">
        <v>365</v>
      </c>
      <c r="G285" t="s">
        <v>372</v>
      </c>
      <c r="H285" t="s">
        <v>19</v>
      </c>
      <c r="I285" t="s">
        <v>20</v>
      </c>
      <c r="J285" t="s">
        <v>21</v>
      </c>
      <c r="K285">
        <v>0</v>
      </c>
      <c r="L285" s="3">
        <v>-7.99</v>
      </c>
    </row>
    <row r="286" spans="2:12" hidden="1" x14ac:dyDescent="0.25">
      <c r="B286" t="s">
        <v>283</v>
      </c>
      <c r="C286">
        <f t="shared" si="6"/>
        <v>6</v>
      </c>
      <c r="D286" t="s">
        <v>283</v>
      </c>
      <c r="E286" t="s">
        <v>283</v>
      </c>
      <c r="F286" t="s">
        <v>357</v>
      </c>
      <c r="G286" t="s">
        <v>473</v>
      </c>
      <c r="H286" t="s">
        <v>47</v>
      </c>
      <c r="I286" t="s">
        <v>20</v>
      </c>
      <c r="J286" t="s">
        <v>21</v>
      </c>
      <c r="K286">
        <v>1</v>
      </c>
      <c r="L286" s="3">
        <v>-150.35</v>
      </c>
    </row>
    <row r="287" spans="2:12" hidden="1" x14ac:dyDescent="0.25">
      <c r="B287" t="s">
        <v>236</v>
      </c>
      <c r="C287">
        <f t="shared" si="6"/>
        <v>9</v>
      </c>
      <c r="D287" t="s">
        <v>236</v>
      </c>
      <c r="E287" t="s">
        <v>236</v>
      </c>
      <c r="F287" t="s">
        <v>107</v>
      </c>
      <c r="G287" t="s">
        <v>419</v>
      </c>
      <c r="H287" t="s">
        <v>19</v>
      </c>
      <c r="I287" t="s">
        <v>20</v>
      </c>
      <c r="J287" t="s">
        <v>21</v>
      </c>
      <c r="K287">
        <v>0</v>
      </c>
      <c r="L287" s="3">
        <v>-17.88</v>
      </c>
    </row>
    <row r="288" spans="2:12" hidden="1" x14ac:dyDescent="0.25">
      <c r="B288" t="s">
        <v>284</v>
      </c>
      <c r="C288">
        <f t="shared" si="6"/>
        <v>5</v>
      </c>
      <c r="D288" t="s">
        <v>284</v>
      </c>
      <c r="E288" t="s">
        <v>284</v>
      </c>
      <c r="F288" t="s">
        <v>366</v>
      </c>
      <c r="G288" t="s">
        <v>474</v>
      </c>
      <c r="H288" t="s">
        <v>55</v>
      </c>
      <c r="I288" t="s">
        <v>20</v>
      </c>
      <c r="J288" t="s">
        <v>21</v>
      </c>
      <c r="K288">
        <v>1</v>
      </c>
      <c r="L288" s="3">
        <v>-7.5</v>
      </c>
    </row>
    <row r="289" spans="2:12" hidden="1" x14ac:dyDescent="0.25">
      <c r="B289" t="s">
        <v>285</v>
      </c>
      <c r="C289">
        <f t="shared" si="6"/>
        <v>5</v>
      </c>
      <c r="D289" t="s">
        <v>285</v>
      </c>
      <c r="E289" t="s">
        <v>285</v>
      </c>
      <c r="F289" t="s">
        <v>364</v>
      </c>
      <c r="G289" t="s">
        <v>475</v>
      </c>
      <c r="H289" t="s">
        <v>47</v>
      </c>
      <c r="I289" t="s">
        <v>20</v>
      </c>
      <c r="J289" t="s">
        <v>21</v>
      </c>
      <c r="K289">
        <v>1</v>
      </c>
      <c r="L289" s="3">
        <v>-30</v>
      </c>
    </row>
    <row r="290" spans="2:12" hidden="1" x14ac:dyDescent="0.25">
      <c r="B290" t="s">
        <v>286</v>
      </c>
      <c r="C290">
        <f t="shared" si="6"/>
        <v>5</v>
      </c>
      <c r="D290" t="s">
        <v>286</v>
      </c>
      <c r="E290" t="s">
        <v>286</v>
      </c>
      <c r="F290" t="s">
        <v>367</v>
      </c>
      <c r="G290" t="s">
        <v>476</v>
      </c>
      <c r="H290" t="s">
        <v>47</v>
      </c>
      <c r="I290" t="s">
        <v>20</v>
      </c>
      <c r="J290" t="s">
        <v>21</v>
      </c>
      <c r="K290">
        <v>1</v>
      </c>
      <c r="L290" s="3">
        <v>-34.799999999999997</v>
      </c>
    </row>
    <row r="291" spans="2:12" hidden="1" x14ac:dyDescent="0.25">
      <c r="B291" t="s">
        <v>286</v>
      </c>
      <c r="C291">
        <f t="shared" si="6"/>
        <v>5</v>
      </c>
      <c r="D291" t="s">
        <v>499</v>
      </c>
      <c r="E291" t="s">
        <v>499</v>
      </c>
      <c r="F291" t="s">
        <v>368</v>
      </c>
      <c r="G291" t="s">
        <v>477</v>
      </c>
      <c r="H291" t="s">
        <v>483</v>
      </c>
      <c r="I291" t="s">
        <v>20</v>
      </c>
      <c r="J291" t="s">
        <v>21</v>
      </c>
      <c r="K291">
        <v>1</v>
      </c>
      <c r="L291" s="3">
        <v>-1200</v>
      </c>
    </row>
    <row r="292" spans="2:12" hidden="1" x14ac:dyDescent="0.25">
      <c r="B292" t="s">
        <v>287</v>
      </c>
      <c r="C292">
        <f t="shared" si="6"/>
        <v>5</v>
      </c>
      <c r="D292" t="s">
        <v>287</v>
      </c>
      <c r="E292" t="s">
        <v>287</v>
      </c>
      <c r="F292" t="s">
        <v>359</v>
      </c>
      <c r="G292" t="s">
        <v>478</v>
      </c>
      <c r="H292" t="s">
        <v>19</v>
      </c>
      <c r="I292" t="s">
        <v>20</v>
      </c>
      <c r="J292" t="s">
        <v>21</v>
      </c>
      <c r="K292">
        <v>1</v>
      </c>
      <c r="L292" s="3">
        <v>-76</v>
      </c>
    </row>
    <row r="293" spans="2:12" hidden="1" x14ac:dyDescent="0.25">
      <c r="B293" t="s">
        <v>288</v>
      </c>
      <c r="C293">
        <f t="shared" si="6"/>
        <v>5</v>
      </c>
      <c r="D293" t="s">
        <v>288</v>
      </c>
      <c r="E293" t="s">
        <v>288</v>
      </c>
      <c r="F293" t="s">
        <v>369</v>
      </c>
      <c r="G293" t="s">
        <v>369</v>
      </c>
      <c r="H293" t="s">
        <v>38</v>
      </c>
      <c r="I293" t="s">
        <v>20</v>
      </c>
      <c r="J293" t="s">
        <v>21</v>
      </c>
      <c r="K293">
        <v>0</v>
      </c>
      <c r="L293" s="3">
        <v>-81.900000000000006</v>
      </c>
    </row>
    <row r="294" spans="2:12" hidden="1" x14ac:dyDescent="0.25">
      <c r="B294" t="s">
        <v>234</v>
      </c>
      <c r="C294">
        <f t="shared" si="6"/>
        <v>9</v>
      </c>
      <c r="D294" t="s">
        <v>234</v>
      </c>
      <c r="E294" t="s">
        <v>234</v>
      </c>
      <c r="F294" t="s">
        <v>316</v>
      </c>
      <c r="G294" t="s">
        <v>414</v>
      </c>
      <c r="H294" t="s">
        <v>19</v>
      </c>
      <c r="I294" t="s">
        <v>20</v>
      </c>
      <c r="J294" t="s">
        <v>21</v>
      </c>
      <c r="K294">
        <v>1</v>
      </c>
      <c r="L294" s="3">
        <v>-16</v>
      </c>
    </row>
    <row r="295" spans="2:12" hidden="1" x14ac:dyDescent="0.25">
      <c r="B295" t="s">
        <v>289</v>
      </c>
      <c r="C295">
        <f t="shared" si="6"/>
        <v>5</v>
      </c>
      <c r="D295" t="s">
        <v>289</v>
      </c>
      <c r="E295" t="s">
        <v>289</v>
      </c>
      <c r="F295" t="s">
        <v>370</v>
      </c>
      <c r="G295" t="s">
        <v>479</v>
      </c>
      <c r="H295" t="s">
        <v>19</v>
      </c>
      <c r="I295" t="s">
        <v>20</v>
      </c>
      <c r="J295" t="s">
        <v>21</v>
      </c>
      <c r="K295">
        <v>0</v>
      </c>
      <c r="L295" s="3">
        <v>-15</v>
      </c>
    </row>
  </sheetData>
  <autoFilter ref="A1:P295" xr:uid="{00000000-0001-0000-0000-000000000000}">
    <filterColumn colId="7">
      <filters>
        <filter val="Descontos Concedido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</dc:creator>
  <cp:lastModifiedBy>pc04</cp:lastModifiedBy>
  <dcterms:created xsi:type="dcterms:W3CDTF">2025-12-02T19:21:00Z</dcterms:created>
  <dcterms:modified xsi:type="dcterms:W3CDTF">2026-03-05T19:10:34Z</dcterms:modified>
</cp:coreProperties>
</file>