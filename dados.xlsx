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 - MVT CAMPINAS SOLUCOES TRANSPORTES LTDA\Imagens\Pessoal\Oraculo\11_Novembro\"/>
    </mc:Choice>
  </mc:AlternateContent>
  <xr:revisionPtr revIDLastSave="0" documentId="13_ncr:20001_{86A1C510-F2BB-40BC-9DC3-81D289E8EB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2" r:id="rId1"/>
    <sheet name="Table1" sheetId="1" r:id="rId2"/>
  </sheets>
  <definedNames>
    <definedName name="_xlnm._FilterDatabase" localSheetId="1" hidden="1">Table1!$A$1:$O$53</definedName>
  </definedNames>
  <calcPr calcId="191029"/>
  <pivotCaches>
    <pivotCache cacheId="58" r:id="rId3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4" i="2"/>
  <c r="F5" i="2" l="1"/>
  <c r="F9" i="2" s="1"/>
  <c r="F11" i="2" s="1"/>
</calcChain>
</file>

<file path=xl/sharedStrings.xml><?xml version="1.0" encoding="utf-8"?>
<sst xmlns="http://schemas.openxmlformats.org/spreadsheetml/2006/main" count="510" uniqueCount="157">
  <si>
    <t>Conciliado</t>
  </si>
  <si>
    <t>Pagamento ou recebimento</t>
  </si>
  <si>
    <t>Vencimento</t>
  </si>
  <si>
    <t>Previsto Para</t>
  </si>
  <si>
    <t>Contato</t>
  </si>
  <si>
    <t>Descrição</t>
  </si>
  <si>
    <t>Categoria</t>
  </si>
  <si>
    <t>Conta</t>
  </si>
  <si>
    <t>Tipo</t>
  </si>
  <si>
    <t>Anexo</t>
  </si>
  <si>
    <t>Valor da Categoria</t>
  </si>
  <si>
    <t>Valor a receber</t>
  </si>
  <si>
    <t>Valor a pagar</t>
  </si>
  <si>
    <t>Valor pago</t>
  </si>
  <si>
    <t>Valor recebido</t>
  </si>
  <si>
    <t>Não</t>
  </si>
  <si>
    <t>27/11/2025</t>
  </si>
  <si>
    <t>03/11/2025</t>
  </si>
  <si>
    <t>Cookies Acai Ltda</t>
  </si>
  <si>
    <t>Café Cleu - Viagem Foz</t>
  </si>
  <si>
    <t>Copa e Cozinha</t>
  </si>
  <si>
    <t>Nubank - Conta corrente</t>
  </si>
  <si>
    <t>Pago</t>
  </si>
  <si>
    <t>Sim</t>
  </si>
  <si>
    <t>Joinads</t>
  </si>
  <si>
    <t>WorkShop  - 2/2</t>
  </si>
  <si>
    <t>Oraculo Empresarial</t>
  </si>
  <si>
    <t>Sicoob - Conta corrente</t>
  </si>
  <si>
    <t>Recebido</t>
  </si>
  <si>
    <t>Comercio de Papeis Foz Eireli</t>
  </si>
  <si>
    <t>Papelaria - Treino Foz do Iguaçu</t>
  </si>
  <si>
    <t>Material de escritório</t>
  </si>
  <si>
    <t>02/11/2025</t>
  </si>
  <si>
    <t>Sf Digital Grafica Ltda</t>
  </si>
  <si>
    <t>Servicos graficos, artes graficas, tipografia</t>
  </si>
  <si>
    <t>Auto Posto Urucui Ltda</t>
  </si>
  <si>
    <t>Almoço - Viagem Foz</t>
  </si>
  <si>
    <t>05/11/2025</t>
  </si>
  <si>
    <t>Sicoob</t>
  </si>
  <si>
    <t>DÉBITO PACOTE SERVIÇOS</t>
  </si>
  <si>
    <t>Taxas e contribuições</t>
  </si>
  <si>
    <t>Fatura Cartão De Credito - Pessoal</t>
  </si>
  <si>
    <t>Pagamento de fatura</t>
  </si>
  <si>
    <t>Retirada - Receita Externa</t>
  </si>
  <si>
    <t>11/11/2025</t>
  </si>
  <si>
    <t>Renilda Moura da Silva</t>
  </si>
  <si>
    <t>Ficha de matricula curso de oratoria - turma 03</t>
  </si>
  <si>
    <t>Oraculo Premium</t>
  </si>
  <si>
    <t>GABRIELA FERNANDES VENANCIO</t>
  </si>
  <si>
    <t>Pagamento Por Trabalho em FOZ</t>
  </si>
  <si>
    <t>Serviços contratados</t>
  </si>
  <si>
    <t>MDF COMERCIO DE LUBRIFICANTES EIRELI</t>
  </si>
  <si>
    <t>Transferência Recebida|MDF COMERCIO DE LUBRIFICANT</t>
  </si>
  <si>
    <t>Receita Externa</t>
  </si>
  <si>
    <t>Cleusa Caldeira de Souza</t>
  </si>
  <si>
    <t>Transferência enviada|Cleusa Caldeira de Souza</t>
  </si>
  <si>
    <t>Credito Feito a Mais para trabalho em FOZ</t>
  </si>
  <si>
    <t>Estorno de Valor Pago</t>
  </si>
  <si>
    <t>06/11/2025</t>
  </si>
  <si>
    <t>Fornecedor sem Cadastro</t>
  </si>
  <si>
    <t>Almoço - Viagem FOZ</t>
  </si>
  <si>
    <t>Outras despesas</t>
  </si>
  <si>
    <t>07/11/2025</t>
  </si>
  <si>
    <t>Pro - Labore</t>
  </si>
  <si>
    <t>10/11/2025</t>
  </si>
  <si>
    <t>Glauciana Ferreira de Oliveira</t>
  </si>
  <si>
    <t>Ficha de matricula curso de oratoria</t>
  </si>
  <si>
    <t>DEB.PARCELAS SUBSC./INTEGR.</t>
  </si>
  <si>
    <t>Tarifa bancária</t>
  </si>
  <si>
    <t>Posto Mosteiro de Ribeirao Preto Ltda</t>
  </si>
  <si>
    <t>Suco prats laranja 900 ml e pao de queijo lanchinho un</t>
  </si>
  <si>
    <t>25/11/2025</t>
  </si>
  <si>
    <t>Rotatoria do Gas</t>
  </si>
  <si>
    <t>Agua</t>
  </si>
  <si>
    <t>Pina &amp; Barboza Contabilidade Ltda</t>
  </si>
  <si>
    <t>Contabilidade</t>
  </si>
  <si>
    <t>Coffe - |Terça</t>
  </si>
  <si>
    <t>FABIANO PEREIRA DA SILVA 36414915840</t>
  </si>
  <si>
    <t>Pao de queijo 50g prime</t>
  </si>
  <si>
    <t>Serviços de dados - Facebook</t>
  </si>
  <si>
    <t>Panificadora E Mercearia Delicia</t>
  </si>
  <si>
    <t>Spres manga e maracuja 900ml</t>
  </si>
  <si>
    <t>12/11/2025</t>
  </si>
  <si>
    <t>CENERP - CENTRO DE NEGOCIOS DE RIBEIRAO PRETO LTDA</t>
  </si>
  <si>
    <t>Sala de Treinamento - Curso Suco Spress</t>
  </si>
  <si>
    <t>Aluguel e condomínio</t>
  </si>
  <si>
    <t>13/11/2025</t>
  </si>
  <si>
    <t>BUNGE &amp; GUTIERREZ IMPORTACAO E EXPORTACAO LTDA.</t>
  </si>
  <si>
    <t>Curso Empresarial</t>
  </si>
  <si>
    <t>KAYKY RAFAEL DE CARVALHO</t>
  </si>
  <si>
    <t>Capitação de imagens treinamento Suco Spres</t>
  </si>
  <si>
    <t>14/11/2025</t>
  </si>
  <si>
    <t>LA FRANCESE COMERCIO DE ALIMENTOS LTDA</t>
  </si>
  <si>
    <t>Café - Mariela e Cleu</t>
  </si>
  <si>
    <t>15/11/2025</t>
  </si>
  <si>
    <t/>
  </si>
  <si>
    <t>16/11/2025</t>
  </si>
  <si>
    <t>Nailah Gazeta Estevao</t>
  </si>
  <si>
    <t>Ficha de matricula curso de oratoria - turma 03. pagamento via boleto em 4 parcelas. - 1/4</t>
  </si>
  <si>
    <t>Cobrança boleto</t>
  </si>
  <si>
    <t>Nibo Softwares</t>
  </si>
  <si>
    <t>Taxa Pix</t>
  </si>
  <si>
    <t>Custo meio de pagamento</t>
  </si>
  <si>
    <t>17/11/2025</t>
  </si>
  <si>
    <t>Bunge E Gutierrez Importacao E</t>
  </si>
  <si>
    <t>6 garrafas de suco spres laranja e manga com maracuja</t>
  </si>
  <si>
    <t>Sendas Distribuidora S/a</t>
  </si>
  <si>
    <t>Various grocery items</t>
  </si>
  <si>
    <t>18/11/2025</t>
  </si>
  <si>
    <t>Daniela Azevedo</t>
  </si>
  <si>
    <t>Sem descrição</t>
  </si>
  <si>
    <t>Receita com serviços</t>
  </si>
  <si>
    <t>Pix Marketplace</t>
  </si>
  <si>
    <t>Transferencia pix</t>
  </si>
  <si>
    <t>Transferência Recebida|DANIELE AZEVEDO 32533434809</t>
  </si>
  <si>
    <t>QUINHONE &amp; QUINHONE LTDA</t>
  </si>
  <si>
    <t>Bolo du karmo e suco sabores prats 900 ml</t>
  </si>
  <si>
    <t>19/11/2025</t>
  </si>
  <si>
    <t>PAULIANE GOMES DE CAMPOS</t>
  </si>
  <si>
    <t>Compra de HGelo</t>
  </si>
  <si>
    <t>Salgadinhos Bueno</t>
  </si>
  <si>
    <t>100 salgados mistos</t>
  </si>
  <si>
    <t>Padaria do Papai</t>
  </si>
  <si>
    <t>Bolo mesclado e bolo piscininha cenoura com brigadeiro</t>
  </si>
  <si>
    <t>Auto Posto Vitorelli Ltda</t>
  </si>
  <si>
    <t>Gasolina comum</t>
  </si>
  <si>
    <t>Savegnago Supermercados Ltda</t>
  </si>
  <si>
    <t>Diversos produtos de supermercado</t>
  </si>
  <si>
    <t>Complemento compra de gelo</t>
  </si>
  <si>
    <t>Dioredo Padaria Gourmet Eireli</t>
  </si>
  <si>
    <t>Cento mini pao de queijo</t>
  </si>
  <si>
    <t>Apoio coffe</t>
  </si>
  <si>
    <t>21/11/2025</t>
  </si>
  <si>
    <t>20/11/2025</t>
  </si>
  <si>
    <t>Sulfite a4 chamex</t>
  </si>
  <si>
    <t>ANA TIZIOTTI ADMINISTRADORA DE IMOVEIS EIRELI</t>
  </si>
  <si>
    <t>Aluguel - Sala</t>
  </si>
  <si>
    <t>Paulo Polesel</t>
  </si>
  <si>
    <t>Condominio</t>
  </si>
  <si>
    <t>CANASTRA EMPREENDIMENTOS EIRELI</t>
  </si>
  <si>
    <t>Pao de queijo 50g prime, suco natural 900 ml</t>
  </si>
  <si>
    <t>Pagamento Locacao Sala - Treinamento Suco Spress</t>
  </si>
  <si>
    <t>26/11/2025</t>
  </si>
  <si>
    <t>TATIANA DONIZETE CASAROTO LTDA</t>
  </si>
  <si>
    <t>Compra de cadernos e canetas personalizados</t>
  </si>
  <si>
    <t>PLACIDO JOSE GOBBO</t>
  </si>
  <si>
    <t>Impressao material - Suco espress</t>
  </si>
  <si>
    <t>Rótulos de Linha</t>
  </si>
  <si>
    <t>Total Geral</t>
  </si>
  <si>
    <t>Soma de Valor da Categoria</t>
  </si>
  <si>
    <t>SALDO EM 31/10/2025</t>
  </si>
  <si>
    <t>ENTRADAS</t>
  </si>
  <si>
    <t>TOTAL DE ENTRADAS</t>
  </si>
  <si>
    <t>SAÍDAS</t>
  </si>
  <si>
    <t>RESULTADO</t>
  </si>
  <si>
    <t>SALDO EM 30/11/2025</t>
  </si>
  <si>
    <t>DIFERENÇA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</si>
</sst>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0"/>
      <color rgb="FF000000"/>
      <name val="Arial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i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3A4CE"/>
        <bgColor rgb="FF23A4C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44" fontId="1" fillId="2" borderId="0" xfId="1" applyFont="1" applyFill="1"/>
    <xf numFmtId="44" fontId="0" fillId="0" borderId="0" xfId="1" applyFont="1"/>
    <xf numFmtId="44" fontId="0" fillId="3" borderId="0" xfId="1" applyFont="1" applyFill="1"/>
    <xf numFmtId="0" fontId="0" fillId="3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0" applyNumberFormat="1"/>
    <xf numFmtId="0" fontId="3" fillId="0" borderId="1" xfId="0" applyFont="1" applyBorder="1"/>
    <xf numFmtId="44" fontId="3" fillId="0" borderId="2" xfId="0" applyNumberFormat="1" applyFont="1" applyBorder="1"/>
    <xf numFmtId="0" fontId="3" fillId="0" borderId="3" xfId="0" applyFont="1" applyBorder="1"/>
    <xf numFmtId="44" fontId="3" fillId="0" borderId="4" xfId="1" applyFont="1" applyBorder="1"/>
    <xf numFmtId="0" fontId="3" fillId="3" borderId="3" xfId="0" applyFont="1" applyFill="1" applyBorder="1"/>
    <xf numFmtId="44" fontId="3" fillId="3" borderId="4" xfId="1" applyFont="1" applyFill="1" applyBorder="1"/>
    <xf numFmtId="44" fontId="3" fillId="0" borderId="5" xfId="1" applyFont="1" applyFill="1" applyBorder="1"/>
    <xf numFmtId="44" fontId="0" fillId="0" borderId="6" xfId="1" applyFont="1" applyFill="1" applyBorder="1"/>
    <xf numFmtId="0" fontId="4" fillId="0" borderId="3" xfId="0" applyFont="1" applyBorder="1"/>
    <xf numFmtId="44" fontId="4" fillId="0" borderId="4" xfId="1" applyFont="1" applyBorder="1"/>
    <xf numFmtId="0" fontId="4" fillId="4" borderId="5" xfId="0" applyFont="1" applyFill="1" applyBorder="1"/>
    <xf numFmtId="44" fontId="4" fillId="4" borderId="6" xfId="1" applyFont="1" applyFill="1" applyBorder="1"/>
    <xf numFmtId="44" fontId="3" fillId="0" borderId="4" xfId="0" applyNumberFormat="1" applyFont="1" applyBorder="1"/>
    <xf numFmtId="44" fontId="4" fillId="3" borderId="7" xfId="0" applyNumberFormat="1" applyFont="1" applyFill="1" applyBorder="1"/>
    <xf numFmtId="44" fontId="4" fillId="3" borderId="8" xfId="1" applyFont="1" applyFill="1" applyBorder="1"/>
    <xf numFmtId="4" fontId="0" fillId="0" borderId="0" xfId="0" applyNumberFormat="1"/>
  </cellXfs>
  <cellStyles count="2">
    <cellStyle name="Moeda" xfId="1" builtinId="4"/>
    <cellStyle name="Normal" xfId="0" builtinId="0"/>
  </cellStyles>
  <dxfs count="2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93.679985648145" createdVersion="8" refreshedVersion="8" minRefreshableVersion="3" recordCount="52" xr:uid="{6CD526D9-640E-40AD-AD9E-0CB42A56CD5E}">
  <cacheSource type="worksheet">
    <worksheetSource ref="A1:O53" sheet="Table1"/>
  </cacheSource>
  <cacheFields count="15">
    <cacheField name="Conciliado" numFmtId="0">
      <sharedItems/>
    </cacheField>
    <cacheField name="Pagamento ou recebimento" numFmtId="0">
      <sharedItems/>
    </cacheField>
    <cacheField name="Vencimento" numFmtId="0">
      <sharedItems/>
    </cacheField>
    <cacheField name="Previsto Para" numFmtId="0">
      <sharedItems/>
    </cacheField>
    <cacheField name="Contato" numFmtId="0">
      <sharedItems/>
    </cacheField>
    <cacheField name="Descrição" numFmtId="0">
      <sharedItems/>
    </cacheField>
    <cacheField name="Categoria" numFmtId="0">
      <sharedItems count="15">
        <s v="Copa e Cozinha"/>
        <s v="Oraculo Empresarial"/>
        <s v="Taxas e contribuições"/>
        <s v="Serviços contratados"/>
        <s v="Material de escritório"/>
        <s v="Estorno de Valor Pago"/>
        <s v="Retirada - Receita Externa"/>
        <s v="Tarifa bancária"/>
        <s v="Receita Externa"/>
        <s v="Outras despesas"/>
        <s v="Pro - Labore"/>
        <s v="Aluguel e condomínio"/>
        <s v="Oraculo Premium"/>
        <s v="Custo meio de pagamento"/>
        <s v="Receita com serviços"/>
      </sharedItems>
    </cacheField>
    <cacheField name="Conta" numFmtId="0">
      <sharedItems/>
    </cacheField>
    <cacheField name="Tipo" numFmtId="0">
      <sharedItems count="2">
        <s v="Pago"/>
        <s v="Recebido"/>
      </sharedItems>
    </cacheField>
    <cacheField name="Anexo" numFmtId="0">
      <sharedItems containsSemiMixedTypes="0" containsString="0" containsNumber="1" containsInteger="1" minValue="0" maxValue="2"/>
    </cacheField>
    <cacheField name="Valor da Categoria" numFmtId="0">
      <sharedItems containsSemiMixedTypes="0" containsString="0" containsNumber="1" minValue="-6000" maxValue="13800"/>
    </cacheField>
    <cacheField name="Valor a receber" numFmtId="0">
      <sharedItems containsSemiMixedTypes="0" containsString="0" containsNumber="1" containsInteger="1" minValue="0" maxValue="0"/>
    </cacheField>
    <cacheField name="Valor a pagar" numFmtId="0">
      <sharedItems containsSemiMixedTypes="0" containsString="0" containsNumber="1" containsInteger="1" minValue="0" maxValue="0"/>
    </cacheField>
    <cacheField name="Valor pago" numFmtId="0">
      <sharedItems containsSemiMixedTypes="0" containsString="0" containsNumber="1" minValue="-6000" maxValue="0"/>
    </cacheField>
    <cacheField name="Valor recebido" numFmtId="0">
      <sharedItems containsSemiMixedTypes="0" containsString="0" containsNumber="1" containsInteger="1" minValue="0" maxValue="138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s v="Sim"/>
    <s v="19/11/2025"/>
    <s v="19/11/2025"/>
    <s v="19/11/2025"/>
    <s v="Dioredo Padaria Gourmet Eireli"/>
    <s v="Cento mini pao de queijo"/>
    <x v="0"/>
    <s v="Nubank - Conta corrente"/>
    <x v="0"/>
    <n v="1"/>
    <n v="-26.7"/>
    <n v="0"/>
    <n v="0"/>
    <n v="-26.7"/>
    <n v="0"/>
  </r>
  <r>
    <s v="Sim"/>
    <s v="03/11/2025"/>
    <s v="03/11/2025"/>
    <s v="03/11/2025"/>
    <s v="Joinads"/>
    <s v="WorkShop  - 2/2"/>
    <x v="1"/>
    <s v="Sicoob - Conta corrente"/>
    <x v="1"/>
    <n v="0"/>
    <n v="13800"/>
    <n v="0"/>
    <n v="0"/>
    <n v="0"/>
    <n v="13800"/>
  </r>
  <r>
    <s v="Sim"/>
    <s v="19/11/2025"/>
    <s v="19/11/2025"/>
    <s v="19/11/2025"/>
    <s v="Auto Posto Vitorelli Ltda"/>
    <s v="Gasolina comum"/>
    <x v="0"/>
    <s v="Nubank - Conta corrente"/>
    <x v="0"/>
    <n v="1"/>
    <n v="-20"/>
    <n v="0"/>
    <n v="0"/>
    <n v="-20"/>
    <n v="0"/>
  </r>
  <r>
    <s v="Sim"/>
    <s v="19/11/2025"/>
    <s v="19/11/2025"/>
    <s v="19/11/2025"/>
    <s v="PAULIANE GOMES DE CAMPOS"/>
    <s v="Compra de HGelo"/>
    <x v="0"/>
    <s v="Nubank - Conta corrente"/>
    <x v="0"/>
    <n v="0"/>
    <n v="-3.3"/>
    <n v="0"/>
    <n v="0"/>
    <n v="-3.3"/>
    <n v="0"/>
  </r>
  <r>
    <s v="Não"/>
    <s v="27/11/2025"/>
    <s v="03/11/2025"/>
    <s v="03/11/2025"/>
    <s v="Cookies Acai Ltda"/>
    <s v="Café Cleu - Viagem Foz"/>
    <x v="0"/>
    <s v="Nubank - Conta corrente"/>
    <x v="0"/>
    <n v="1"/>
    <n v="-52"/>
    <n v="0"/>
    <n v="0"/>
    <n v="-52"/>
    <n v="0"/>
  </r>
  <r>
    <s v="Sim"/>
    <s v="05/11/2025"/>
    <s v="05/11/2025"/>
    <s v="05/11/2025"/>
    <s v="Sicoob"/>
    <s v="DÉBITO PACOTE SERVIÇOS"/>
    <x v="2"/>
    <s v="Sicoob - Conta corrente"/>
    <x v="0"/>
    <n v="0"/>
    <n v="-19.899999999999999"/>
    <n v="0"/>
    <n v="0"/>
    <n v="-19.899999999999999"/>
    <n v="0"/>
  </r>
  <r>
    <s v="Não"/>
    <s v="27/11/2025"/>
    <s v="15/11/2025"/>
    <s v="15/11/2025"/>
    <s v="Posto Mosteiro de Ribeirao Preto Ltda"/>
    <s v=""/>
    <x v="0"/>
    <s v="Nubank - Conta corrente"/>
    <x v="0"/>
    <n v="1"/>
    <n v="-25.92"/>
    <n v="0"/>
    <n v="0"/>
    <n v="-25.92"/>
    <n v="0"/>
  </r>
  <r>
    <s v="Não"/>
    <s v="27/11/2025"/>
    <s v="10/11/2025"/>
    <s v="10/11/2025"/>
    <s v="Posto Mosteiro de Ribeirao Preto Ltda"/>
    <s v="Suco prats laranja 900 ml e pao de queijo lanchinho un"/>
    <x v="0"/>
    <s v="Nubank - Conta corrente"/>
    <x v="0"/>
    <n v="1"/>
    <n v="-24.39"/>
    <n v="0"/>
    <n v="0"/>
    <n v="-24.39"/>
    <n v="0"/>
  </r>
  <r>
    <s v="Sim"/>
    <s v="05/11/2025"/>
    <s v="05/11/2025"/>
    <s v="05/11/2025"/>
    <s v="GABRIELA FERNANDES VENANCIO"/>
    <s v="Pagamento Por Trabalho em FOZ"/>
    <x v="3"/>
    <s v="Sicoob - Conta corrente"/>
    <x v="0"/>
    <n v="0"/>
    <n v="-2000"/>
    <n v="0"/>
    <n v="0"/>
    <n v="-2000"/>
    <n v="0"/>
  </r>
  <r>
    <s v="Sim"/>
    <s v="02/11/2025"/>
    <s v="03/11/2025"/>
    <s v="03/11/2025"/>
    <s v="Sf Digital Grafica Ltda"/>
    <s v="Servicos graficos, artes graficas, tipografia"/>
    <x v="4"/>
    <s v="Nubank - Conta corrente"/>
    <x v="0"/>
    <n v="2"/>
    <n v="-70"/>
    <n v="0"/>
    <n v="0"/>
    <n v="-70"/>
    <n v="0"/>
  </r>
  <r>
    <s v="Sim"/>
    <s v="03/11/2025"/>
    <s v="03/11/2025"/>
    <s v="03/11/2025"/>
    <s v="Auto Posto Urucui Ltda"/>
    <s v="Almoço - Viagem Foz"/>
    <x v="0"/>
    <s v="Nubank - Conta corrente"/>
    <x v="0"/>
    <n v="1"/>
    <n v="-46"/>
    <n v="0"/>
    <n v="0"/>
    <n v="-46"/>
    <n v="0"/>
  </r>
  <r>
    <s v="Sim"/>
    <s v="05/11/2025"/>
    <s v="05/11/2025"/>
    <s v="05/11/2025"/>
    <s v="GABRIELA FERNANDES VENANCIO"/>
    <s v="Credito Feito a Mais para trabalho em FOZ"/>
    <x v="5"/>
    <s v="Sicoob - Conta corrente"/>
    <x v="1"/>
    <n v="0"/>
    <n v="500"/>
    <n v="0"/>
    <n v="0"/>
    <n v="0"/>
    <n v="500"/>
  </r>
  <r>
    <s v="Sim"/>
    <s v="03/11/2025"/>
    <s v="03/11/2025"/>
    <s v="03/11/2025"/>
    <s v="Comercio de Papeis Foz Eireli"/>
    <s v="Papelaria - Treino Foz do Iguaçu"/>
    <x v="4"/>
    <s v="Nubank - Conta corrente"/>
    <x v="0"/>
    <n v="1"/>
    <n v="-34.799999999999997"/>
    <n v="0"/>
    <n v="0"/>
    <n v="-34.799999999999997"/>
    <n v="0"/>
  </r>
  <r>
    <s v="Sim"/>
    <s v="05/11/2025"/>
    <s v="05/11/2025"/>
    <s v="05/11/2025"/>
    <s v="Cleusa Caldeira de Souza"/>
    <s v="Transferência enviada|Cleusa Caldeira de Souza"/>
    <x v="6"/>
    <s v="Nubank - Conta corrente"/>
    <x v="0"/>
    <n v="0"/>
    <n v="-3493.16"/>
    <n v="0"/>
    <n v="0"/>
    <n v="-3493.16"/>
    <n v="0"/>
  </r>
  <r>
    <s v="Sim"/>
    <s v="05/11/2025"/>
    <s v="05/11/2025"/>
    <s v="05/11/2025"/>
    <s v="Fatura Cartão De Credito - Pessoal"/>
    <s v="Pagamento de fatura"/>
    <x v="6"/>
    <s v="Nubank - Conta corrente"/>
    <x v="0"/>
    <n v="0"/>
    <n v="-2506.86"/>
    <n v="0"/>
    <n v="0"/>
    <n v="-2506.86"/>
    <n v="0"/>
  </r>
  <r>
    <s v="Sim"/>
    <s v="10/11/2025"/>
    <s v="10/11/2025"/>
    <s v="10/11/2025"/>
    <s v="Sicoob"/>
    <s v="DEB.PARCELAS SUBSC./INTEGR."/>
    <x v="7"/>
    <s v="Sicoob - Conta corrente"/>
    <x v="0"/>
    <n v="0"/>
    <n v="-40"/>
    <n v="0"/>
    <n v="0"/>
    <n v="-40"/>
    <n v="0"/>
  </r>
  <r>
    <s v="Sim"/>
    <s v="05/11/2025"/>
    <s v="05/11/2025"/>
    <s v="05/11/2025"/>
    <s v="MDF COMERCIO DE LUBRIFICANTES EIRELI"/>
    <s v="Transferência Recebida|MDF COMERCIO DE LUBRIFICANT"/>
    <x v="8"/>
    <s v="Nubank - Conta corrente"/>
    <x v="1"/>
    <n v="0"/>
    <n v="6000"/>
    <n v="0"/>
    <n v="0"/>
    <n v="0"/>
    <n v="6000"/>
  </r>
  <r>
    <s v="Sim"/>
    <s v="06/11/2025"/>
    <s v="06/11/2025"/>
    <s v="06/11/2025"/>
    <s v="Fornecedor sem Cadastro"/>
    <s v="Almoço - Viagem Foz"/>
    <x v="9"/>
    <s v="Nubank - Conta corrente"/>
    <x v="0"/>
    <n v="1"/>
    <n v="-101.86"/>
    <n v="0"/>
    <n v="0"/>
    <n v="-101.86"/>
    <n v="0"/>
  </r>
  <r>
    <s v="Sim"/>
    <s v="07/11/2025"/>
    <s v="07/11/2025"/>
    <s v="07/11/2025"/>
    <s v="Cleusa Caldeira de Souza"/>
    <s v="Transferência enviada|Cleusa Caldeira de Souza"/>
    <x v="10"/>
    <s v="Nubank - Conta corrente"/>
    <x v="0"/>
    <n v="0"/>
    <n v="-6000"/>
    <n v="0"/>
    <n v="0"/>
    <n v="-6000"/>
    <n v="0"/>
  </r>
  <r>
    <s v="Sim"/>
    <s v="10/11/2025"/>
    <s v="10/11/2025"/>
    <s v="10/11/2025"/>
    <s v="Pina &amp; Barboza Contabilidade Ltda"/>
    <s v="Contabilidade"/>
    <x v="3"/>
    <s v="Nubank - Conta corrente"/>
    <x v="0"/>
    <n v="0"/>
    <n v="-350"/>
    <n v="0"/>
    <n v="0"/>
    <n v="-350"/>
    <n v="0"/>
  </r>
  <r>
    <s v="Sim"/>
    <s v="11/11/2025"/>
    <s v="11/11/2025"/>
    <s v="11/11/2025"/>
    <s v="Cleusa Caldeira de Souza"/>
    <s v="Serviços de dados - Facebook"/>
    <x v="3"/>
    <s v="Nubank - Conta corrente"/>
    <x v="0"/>
    <n v="0"/>
    <n v="-318.26"/>
    <n v="0"/>
    <n v="0"/>
    <n v="-318.26"/>
    <n v="0"/>
  </r>
  <r>
    <s v="Sim"/>
    <s v="11/11/2025"/>
    <s v="11/11/2025"/>
    <s v="11/11/2025"/>
    <s v="Panificadora E Mercearia Delicia"/>
    <s v="Spres manga e maracuja 900ml"/>
    <x v="0"/>
    <s v="Nubank - Conta corrente"/>
    <x v="0"/>
    <n v="1"/>
    <n v="-12"/>
    <n v="0"/>
    <n v="0"/>
    <n v="-12"/>
    <n v="0"/>
  </r>
  <r>
    <s v="Sim"/>
    <s v="11/11/2025"/>
    <s v="11/11/2025"/>
    <s v="11/11/2025"/>
    <s v="FABIANO PEREIRA DA SILVA 36414915840"/>
    <s v="Pao de queijo 50g prime"/>
    <x v="0"/>
    <s v="Nubank - Conta corrente"/>
    <x v="0"/>
    <n v="1"/>
    <n v="-10"/>
    <n v="0"/>
    <n v="0"/>
    <n v="-10"/>
    <n v="0"/>
  </r>
  <r>
    <s v="Sim"/>
    <s v="12/11/2025"/>
    <s v="12/11/2025"/>
    <s v="12/11/2025"/>
    <s v="CENERP - CENTRO DE NEGOCIOS DE RIBEIRAO PRETO LTDA"/>
    <s v="Sala de Treinamento - Curso Suco Spress"/>
    <x v="11"/>
    <s v="Sicoob - Conta corrente"/>
    <x v="0"/>
    <n v="0"/>
    <n v="-1448"/>
    <n v="0"/>
    <n v="0"/>
    <n v="-1448"/>
    <n v="0"/>
  </r>
  <r>
    <s v="Sim"/>
    <s v="12/11/2025"/>
    <s v="13/11/2025"/>
    <s v="13/11/2025"/>
    <s v="BUNGE &amp; GUTIERREZ IMPORTACAO E EXPORTACAO LTDA."/>
    <s v="Curso Empresarial"/>
    <x v="1"/>
    <s v="Sicoob - Conta corrente"/>
    <x v="1"/>
    <n v="0"/>
    <n v="6300"/>
    <n v="0"/>
    <n v="0"/>
    <n v="0"/>
    <n v="6300"/>
  </r>
  <r>
    <s v="Sim"/>
    <s v="13/11/2025"/>
    <s v="13/11/2025"/>
    <s v="13/11/2025"/>
    <s v="KAYKY RAFAEL DE CARVALHO"/>
    <s v="Capitação de imagens treinamento Suco Spres"/>
    <x v="3"/>
    <s v="Sicoob - Conta corrente"/>
    <x v="0"/>
    <n v="0"/>
    <n v="-270"/>
    <n v="0"/>
    <n v="0"/>
    <n v="-270"/>
    <n v="0"/>
  </r>
  <r>
    <s v="Sim"/>
    <s v="11/11/2025"/>
    <s v="05/11/2025"/>
    <s v="05/11/2025"/>
    <s v="Renilda Moura da Silva"/>
    <s v="Ficha de matricula curso de oratoria - turma 03"/>
    <x v="12"/>
    <s v="Nubank - Conta corrente"/>
    <x v="1"/>
    <n v="1"/>
    <n v="2955"/>
    <n v="0"/>
    <n v="0"/>
    <n v="0"/>
    <n v="2955"/>
  </r>
  <r>
    <s v="Sim"/>
    <s v="11/11/2025"/>
    <s v="10/11/2025"/>
    <s v="10/11/2025"/>
    <s v="Glauciana Ferreira de Oliveira"/>
    <s v="Ficha de matricula curso de oratoria"/>
    <x v="12"/>
    <s v="Nubank - Conta corrente"/>
    <x v="1"/>
    <n v="1"/>
    <n v="3000"/>
    <n v="0"/>
    <n v="0"/>
    <n v="0"/>
    <n v="3000"/>
  </r>
  <r>
    <s v="Não"/>
    <s v="16/11/2025"/>
    <s v="15/11/2025"/>
    <s v="15/11/2025"/>
    <s v="Nailah Gazeta Estevao"/>
    <s v="Ficha de matricula curso de oratoria - turma 03. pagamento via boleto em 4 parcelas. - 1/4"/>
    <x v="12"/>
    <s v="Cobrança boleto"/>
    <x v="1"/>
    <n v="2"/>
    <n v="526"/>
    <n v="0"/>
    <n v="0"/>
    <n v="0"/>
    <n v="526"/>
  </r>
  <r>
    <s v="Não"/>
    <s v="16/11/2025"/>
    <s v="16/11/2025"/>
    <s v="16/11/2025"/>
    <s v="Nibo Softwares"/>
    <s v="Taxa Pix"/>
    <x v="13"/>
    <s v="Cobrança boleto"/>
    <x v="0"/>
    <n v="0"/>
    <n v="-2.4900000000000002"/>
    <n v="0"/>
    <n v="0"/>
    <n v="-2.4900000000000002"/>
    <n v="0"/>
  </r>
  <r>
    <s v="Sim"/>
    <s v="17/11/2025"/>
    <s v="17/11/2025"/>
    <s v="17/11/2025"/>
    <s v="Bunge E Gutierrez Importacao E"/>
    <s v="6 garrafas de suco spres laranja e manga com maracuja"/>
    <x v="0"/>
    <s v="Sicoob - Conta corrente"/>
    <x v="0"/>
    <n v="1"/>
    <n v="-57"/>
    <n v="0"/>
    <n v="0"/>
    <n v="-57"/>
    <n v="0"/>
  </r>
  <r>
    <s v="Sim"/>
    <s v="14/11/2025"/>
    <s v="14/11/2025"/>
    <s v="14/11/2025"/>
    <s v="LA FRANCESE COMERCIO DE ALIMENTOS LTDA"/>
    <s v="Café - Mariela e Cleu"/>
    <x v="0"/>
    <s v="Nubank - Conta corrente"/>
    <x v="0"/>
    <n v="0"/>
    <n v="-136.5"/>
    <n v="0"/>
    <n v="0"/>
    <n v="-136.5"/>
    <n v="0"/>
  </r>
  <r>
    <s v="Sim"/>
    <s v="17/11/2025"/>
    <s v="17/11/2025"/>
    <s v="17/11/2025"/>
    <s v="Sendas Distribuidora S/a"/>
    <s v="Various grocery items"/>
    <x v="0"/>
    <s v="Nubank - Conta corrente"/>
    <x v="0"/>
    <n v="1"/>
    <n v="-148.88"/>
    <n v="0"/>
    <n v="0"/>
    <n v="-148.88"/>
    <n v="0"/>
  </r>
  <r>
    <s v="Sim"/>
    <s v="17/11/2025"/>
    <s v="17/11/2025"/>
    <s v="17/11/2025"/>
    <s v="Pix Marketplace"/>
    <s v="Transferencia pix"/>
    <x v="0"/>
    <s v="Sicoob - Conta corrente"/>
    <x v="0"/>
    <n v="1"/>
    <n v="-38.9"/>
    <n v="0"/>
    <n v="0"/>
    <n v="-38.9"/>
    <n v="0"/>
  </r>
  <r>
    <s v="Sim"/>
    <s v="18/11/2025"/>
    <s v="18/11/2025"/>
    <s v="18/11/2025"/>
    <s v="QUINHONE &amp; QUINHONE LTDA"/>
    <s v="Bolo du karmo e suco sabores prats 900 ml"/>
    <x v="0"/>
    <s v="Nubank - Conta corrente"/>
    <x v="0"/>
    <n v="1"/>
    <n v="-40"/>
    <n v="0"/>
    <n v="0"/>
    <n v="-40"/>
    <n v="0"/>
  </r>
  <r>
    <s v="Sim"/>
    <s v="18/11/2025"/>
    <s v="18/11/2025"/>
    <s v="18/11/2025"/>
    <s v="Daniela Azevedo"/>
    <s v="Transferência Recebida|DANIELE AZEVEDO 32533434809"/>
    <x v="12"/>
    <s v="Nubank - Conta corrente"/>
    <x v="1"/>
    <n v="0"/>
    <n v="160"/>
    <n v="0"/>
    <n v="0"/>
    <n v="0"/>
    <n v="160"/>
  </r>
  <r>
    <s v="Sim"/>
    <s v="18/11/2025"/>
    <s v="17/11/2025"/>
    <s v="17/11/2025"/>
    <s v="Daniela Azevedo"/>
    <s v="Sem descrição"/>
    <x v="14"/>
    <s v="Nubank - Conta corrente"/>
    <x v="1"/>
    <n v="0"/>
    <n v="240"/>
    <n v="0"/>
    <n v="0"/>
    <n v="0"/>
    <n v="240"/>
  </r>
  <r>
    <s v="Sim"/>
    <s v="19/11/2025"/>
    <s v="19/11/2025"/>
    <s v="19/11/2025"/>
    <s v="PAULIANE GOMES DE CAMPOS"/>
    <s v="Apoio coffe"/>
    <x v="3"/>
    <s v="Nubank - Conta corrente"/>
    <x v="0"/>
    <n v="1"/>
    <n v="-100"/>
    <n v="0"/>
    <n v="0"/>
    <n v="-100"/>
    <n v="0"/>
  </r>
  <r>
    <s v="Sim"/>
    <s v="19/11/2025"/>
    <s v="19/11/2025"/>
    <s v="19/11/2025"/>
    <s v="Padaria do Papai"/>
    <s v="Bolo mesclado e bolo piscininha cenoura com brigadeiro"/>
    <x v="0"/>
    <s v="Nubank - Conta corrente"/>
    <x v="0"/>
    <n v="1"/>
    <n v="-69.8"/>
    <n v="0"/>
    <n v="0"/>
    <n v="-69.8"/>
    <n v="0"/>
  </r>
  <r>
    <s v="Sim"/>
    <s v="19/11/2025"/>
    <s v="19/11/2025"/>
    <s v="19/11/2025"/>
    <s v="Savegnago Supermercados Ltda"/>
    <s v="Diversos produtos de supermercado"/>
    <x v="0"/>
    <s v="Nubank - Conta corrente"/>
    <x v="0"/>
    <n v="1"/>
    <n v="-68.83"/>
    <n v="0"/>
    <n v="0"/>
    <n v="-68.83"/>
    <n v="0"/>
  </r>
  <r>
    <s v="Sim"/>
    <s v="19/11/2025"/>
    <s v="19/11/2025"/>
    <s v="19/11/2025"/>
    <s v="Salgadinhos Bueno"/>
    <s v="100 salgados mistos"/>
    <x v="0"/>
    <s v="Nubank - Conta corrente"/>
    <x v="0"/>
    <n v="1"/>
    <n v="-66"/>
    <n v="0"/>
    <n v="0"/>
    <n v="-66"/>
    <n v="0"/>
  </r>
  <r>
    <s v="Sim"/>
    <s v="19/11/2025"/>
    <s v="19/11/2025"/>
    <s v="19/11/2025"/>
    <s v="PAULIANE GOMES DE CAMPOS"/>
    <s v="Complemento compra de gelo"/>
    <x v="0"/>
    <s v="Nubank - Conta corrente"/>
    <x v="0"/>
    <n v="0"/>
    <n v="-4.2"/>
    <n v="0"/>
    <n v="0"/>
    <n v="-4.2"/>
    <n v="0"/>
  </r>
  <r>
    <s v="Sim"/>
    <s v="21/11/2025"/>
    <s v="20/11/2025"/>
    <s v="20/11/2025"/>
    <s v="ANA TIZIOTTI ADMINISTRADORA DE IMOVEIS EIRELI"/>
    <s v="Aluguel - Sala"/>
    <x v="11"/>
    <s v="Nubank - Conta corrente"/>
    <x v="0"/>
    <n v="0"/>
    <n v="-1500"/>
    <n v="0"/>
    <n v="0"/>
    <n v="-1500"/>
    <n v="0"/>
  </r>
  <r>
    <s v="Sim"/>
    <s v="21/11/2025"/>
    <s v="20/11/2025"/>
    <s v="20/11/2025"/>
    <s v="CANASTRA EMPREENDIMENTOS EIRELI"/>
    <s v="Aluguel - Sala"/>
    <x v="11"/>
    <s v="Nubank - Conta corrente"/>
    <x v="0"/>
    <n v="0"/>
    <n v="-1500"/>
    <n v="0"/>
    <n v="0"/>
    <n v="-1500"/>
    <n v="0"/>
  </r>
  <r>
    <s v="Sim"/>
    <s v="21/11/2025"/>
    <s v="20/11/2025"/>
    <s v="20/11/2025"/>
    <s v="Sendas Distribuidora S/a"/>
    <s v="Sulfite a4 chamex"/>
    <x v="4"/>
    <s v="Sicoob - Conta corrente"/>
    <x v="0"/>
    <n v="1"/>
    <n v="-29.5"/>
    <n v="0"/>
    <n v="0"/>
    <n v="-29.5"/>
    <n v="0"/>
  </r>
  <r>
    <s v="Sim"/>
    <s v="21/11/2025"/>
    <s v="20/11/2025"/>
    <s v="20/11/2025"/>
    <s v="Paulo Polesel"/>
    <s v="Condominio"/>
    <x v="11"/>
    <s v="Nubank - Conta corrente"/>
    <x v="0"/>
    <n v="0"/>
    <n v="-550"/>
    <n v="0"/>
    <n v="0"/>
    <n v="-550"/>
    <n v="0"/>
  </r>
  <r>
    <s v="Sim"/>
    <s v="25/11/2025"/>
    <s v="10/11/2025"/>
    <s v="10/11/2025"/>
    <s v="Rotatoria do Gas"/>
    <s v="Agua"/>
    <x v="0"/>
    <s v="Nubank - Conta corrente"/>
    <x v="0"/>
    <n v="1"/>
    <n v="-45"/>
    <n v="0"/>
    <n v="0"/>
    <n v="-45"/>
    <n v="0"/>
  </r>
  <r>
    <s v="Sim"/>
    <s v="25/11/2025"/>
    <s v="10/11/2025"/>
    <s v="10/11/2025"/>
    <s v="Posto Mosteiro de Ribeirao Preto Ltda"/>
    <s v="Coffe - |Terça"/>
    <x v="0"/>
    <s v="Nubank - Conta corrente"/>
    <x v="0"/>
    <n v="1"/>
    <n v="-26.37"/>
    <n v="0"/>
    <n v="0"/>
    <n v="-26.37"/>
    <n v="0"/>
  </r>
  <r>
    <s v="Sim"/>
    <s v="25/11/2025"/>
    <s v="25/11/2025"/>
    <s v="25/11/2025"/>
    <s v="FABIANO PEREIRA DA SILVA 36414915840"/>
    <s v="Pao de queijo 50g prime, suco natural 900 ml"/>
    <x v="0"/>
    <s v="Nubank - Conta corrente"/>
    <x v="0"/>
    <n v="1"/>
    <n v="-24"/>
    <n v="0"/>
    <n v="0"/>
    <n v="-24"/>
    <n v="0"/>
  </r>
  <r>
    <s v="Sim"/>
    <s v="25/11/2025"/>
    <s v="25/11/2025"/>
    <s v="25/11/2025"/>
    <s v="CENERP - CENTRO DE NEGOCIOS DE RIBEIRAO PRETO LTDA"/>
    <s v="Pagamento Locacao Sala - Treinamento Suco Spress"/>
    <x v="9"/>
    <s v="Sicoob - Conta corrente"/>
    <x v="0"/>
    <n v="0"/>
    <n v="-947"/>
    <n v="0"/>
    <n v="0"/>
    <n v="-947"/>
    <n v="0"/>
  </r>
  <r>
    <s v="Sim"/>
    <s v="26/11/2025"/>
    <s v="26/11/2025"/>
    <s v="26/11/2025"/>
    <s v="TATIANA DONIZETE CASAROTO LTDA"/>
    <s v="Compra de cadernos e canetas personalizados"/>
    <x v="4"/>
    <s v="Sicoob - Conta corrente"/>
    <x v="0"/>
    <n v="0"/>
    <n v="-1232.5"/>
    <n v="0"/>
    <n v="0"/>
    <n v="-1232.5"/>
    <n v="0"/>
  </r>
  <r>
    <s v="Sim"/>
    <s v="27/11/2025"/>
    <s v="27/11/2025"/>
    <s v="27/11/2025"/>
    <s v="PLACIDO JOSE GOBBO"/>
    <s v="Impressao material - Suco espress"/>
    <x v="9"/>
    <s v="Nubank - Conta corrente"/>
    <x v="0"/>
    <n v="0"/>
    <n v="-18"/>
    <n v="0"/>
    <n v="0"/>
    <n v="-1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481A17-A9C5-4009-A49D-E39270954EAD}" name="Tabela dinâmica5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1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axis="axisRow" showAll="0">
      <items count="16">
        <item x="11"/>
        <item x="0"/>
        <item x="13"/>
        <item x="5"/>
        <item x="4"/>
        <item x="1"/>
        <item x="12"/>
        <item x="9"/>
        <item x="10"/>
        <item x="14"/>
        <item x="8"/>
        <item x="6"/>
        <item x="3"/>
        <item x="7"/>
        <item x="2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</pivotFields>
  <rowFields count="2">
    <field x="8"/>
    <field x="6"/>
  </rowFields>
  <rowItems count="18">
    <i>
      <x/>
    </i>
    <i r="1">
      <x/>
    </i>
    <i r="1">
      <x v="1"/>
    </i>
    <i r="1">
      <x v="2"/>
    </i>
    <i r="1">
      <x v="4"/>
    </i>
    <i r="1">
      <x v="7"/>
    </i>
    <i r="1">
      <x v="8"/>
    </i>
    <i r="1">
      <x v="11"/>
    </i>
    <i r="1">
      <x v="12"/>
    </i>
    <i r="1">
      <x v="13"/>
    </i>
    <i r="1">
      <x v="14"/>
    </i>
    <i>
      <x v="1"/>
    </i>
    <i r="1">
      <x v="3"/>
    </i>
    <i r="1">
      <x v="5"/>
    </i>
    <i r="1">
      <x v="6"/>
    </i>
    <i r="1">
      <x v="9"/>
    </i>
    <i r="1">
      <x v="10"/>
    </i>
    <i t="grand">
      <x/>
    </i>
  </rowItems>
  <colItems count="1">
    <i/>
  </colItems>
  <dataFields count="1">
    <dataField name="Soma de Valor da Categoria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EE1C-C106-49EC-9E06-CC2861D64A15}">
  <dimension ref="A2:J21"/>
  <sheetViews>
    <sheetView tabSelected="1" workbookViewId="0">
      <selection activeCell="J15" sqref="J15"/>
    </sheetView>
  </sheetViews>
  <sheetFormatPr defaultRowHeight="13.2" x14ac:dyDescent="0.25"/>
  <cols>
    <col min="1" max="1" width="26.77734375" bestFit="1" customWidth="1"/>
    <col min="2" max="2" width="25.77734375" bestFit="1" customWidth="1"/>
    <col min="5" max="5" width="20" bestFit="1" customWidth="1"/>
    <col min="6" max="6" width="13.6640625" bestFit="1" customWidth="1"/>
    <col min="10" max="10" width="9.109375" bestFit="1" customWidth="1"/>
  </cols>
  <sheetData>
    <row r="2" spans="1:10" ht="13.8" thickBot="1" x14ac:dyDescent="0.3">
      <c r="J2" s="25"/>
    </row>
    <row r="3" spans="1:10" ht="14.4" x14ac:dyDescent="0.3">
      <c r="A3" s="6" t="s">
        <v>147</v>
      </c>
      <c r="B3" t="s">
        <v>149</v>
      </c>
      <c r="E3" s="10" t="s">
        <v>150</v>
      </c>
      <c r="F3" s="11">
        <v>27598.6</v>
      </c>
      <c r="J3" s="25"/>
    </row>
    <row r="4" spans="1:10" ht="14.4" x14ac:dyDescent="0.3">
      <c r="A4" s="7" t="s">
        <v>22</v>
      </c>
      <c r="B4" s="9">
        <v>-23478.120000000003</v>
      </c>
      <c r="E4" s="12" t="s">
        <v>151</v>
      </c>
      <c r="F4" s="13">
        <f>GETPIVOTDATA("Valor da Categoria",$A$3,"Tipo","Recebido")</f>
        <v>33481</v>
      </c>
      <c r="J4" s="25"/>
    </row>
    <row r="5" spans="1:10" ht="14.4" x14ac:dyDescent="0.3">
      <c r="A5" s="8" t="s">
        <v>85</v>
      </c>
      <c r="B5" s="9">
        <v>-4998</v>
      </c>
      <c r="E5" s="14" t="s">
        <v>152</v>
      </c>
      <c r="F5" s="15">
        <f>SUM(F3:F4)</f>
        <v>61079.6</v>
      </c>
    </row>
    <row r="6" spans="1:10" ht="14.4" x14ac:dyDescent="0.3">
      <c r="A6" s="8" t="s">
        <v>20</v>
      </c>
      <c r="B6" s="9">
        <v>-945.79000000000008</v>
      </c>
      <c r="E6" s="16"/>
      <c r="F6" s="17"/>
    </row>
    <row r="7" spans="1:10" ht="14.4" x14ac:dyDescent="0.3">
      <c r="A7" s="8" t="s">
        <v>102</v>
      </c>
      <c r="B7" s="9">
        <v>-2.4900000000000002</v>
      </c>
      <c r="E7" s="18" t="s">
        <v>153</v>
      </c>
      <c r="F7" s="19">
        <f>GETPIVOTDATA("Valor da Categoria",$A$3,"Tipo","Pago")</f>
        <v>-23478.120000000003</v>
      </c>
    </row>
    <row r="8" spans="1:10" ht="14.4" x14ac:dyDescent="0.3">
      <c r="A8" s="8" t="s">
        <v>31</v>
      </c>
      <c r="B8" s="9">
        <v>-1366.8</v>
      </c>
      <c r="E8" s="20"/>
      <c r="F8" s="21"/>
    </row>
    <row r="9" spans="1:10" ht="14.4" x14ac:dyDescent="0.3">
      <c r="A9" s="8" t="s">
        <v>61</v>
      </c>
      <c r="B9" s="9">
        <v>-1066.8599999999999</v>
      </c>
      <c r="E9" s="12" t="s">
        <v>154</v>
      </c>
      <c r="F9" s="22">
        <f>F5+F7</f>
        <v>37601.479999999996</v>
      </c>
      <c r="J9" s="25"/>
    </row>
    <row r="10" spans="1:10" ht="14.4" x14ac:dyDescent="0.3">
      <c r="A10" s="8" t="s">
        <v>63</v>
      </c>
      <c r="B10" s="9">
        <v>-6000</v>
      </c>
      <c r="E10" s="12" t="s">
        <v>155</v>
      </c>
      <c r="F10" s="22">
        <v>37601.479999999996</v>
      </c>
      <c r="J10" s="25"/>
    </row>
    <row r="11" spans="1:10" ht="15" thickBot="1" x14ac:dyDescent="0.35">
      <c r="A11" s="8" t="s">
        <v>43</v>
      </c>
      <c r="B11" s="9">
        <v>-6000.02</v>
      </c>
      <c r="E11" s="23" t="s">
        <v>156</v>
      </c>
      <c r="F11" s="24">
        <f>F10-F9</f>
        <v>0</v>
      </c>
      <c r="J11" s="25"/>
    </row>
    <row r="12" spans="1:10" x14ac:dyDescent="0.25">
      <c r="A12" s="8" t="s">
        <v>50</v>
      </c>
      <c r="B12" s="9">
        <v>-3038.26</v>
      </c>
    </row>
    <row r="13" spans="1:10" x14ac:dyDescent="0.25">
      <c r="A13" s="8" t="s">
        <v>68</v>
      </c>
      <c r="B13" s="9">
        <v>-40</v>
      </c>
    </row>
    <row r="14" spans="1:10" x14ac:dyDescent="0.25">
      <c r="A14" s="8" t="s">
        <v>40</v>
      </c>
      <c r="B14" s="9">
        <v>-19.899999999999999</v>
      </c>
    </row>
    <row r="15" spans="1:10" x14ac:dyDescent="0.25">
      <c r="A15" s="7" t="s">
        <v>28</v>
      </c>
      <c r="B15" s="9">
        <v>33481</v>
      </c>
    </row>
    <row r="16" spans="1:10" x14ac:dyDescent="0.25">
      <c r="A16" s="8" t="s">
        <v>57</v>
      </c>
      <c r="B16" s="9">
        <v>500</v>
      </c>
    </row>
    <row r="17" spans="1:2" x14ac:dyDescent="0.25">
      <c r="A17" s="8" t="s">
        <v>26</v>
      </c>
      <c r="B17" s="9">
        <v>20100</v>
      </c>
    </row>
    <row r="18" spans="1:2" x14ac:dyDescent="0.25">
      <c r="A18" s="8" t="s">
        <v>47</v>
      </c>
      <c r="B18" s="9">
        <v>6641</v>
      </c>
    </row>
    <row r="19" spans="1:2" x14ac:dyDescent="0.25">
      <c r="A19" s="8" t="s">
        <v>111</v>
      </c>
      <c r="B19" s="9">
        <v>240</v>
      </c>
    </row>
    <row r="20" spans="1:2" x14ac:dyDescent="0.25">
      <c r="A20" s="8" t="s">
        <v>53</v>
      </c>
      <c r="B20" s="9">
        <v>6000</v>
      </c>
    </row>
    <row r="21" spans="1:2" x14ac:dyDescent="0.25">
      <c r="A21" s="7" t="s">
        <v>148</v>
      </c>
      <c r="B21" s="9">
        <v>10002.879999999997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workbookViewId="0"/>
  </sheetViews>
  <sheetFormatPr defaultRowHeight="13.2" x14ac:dyDescent="0.25"/>
  <cols>
    <col min="1" max="1" width="12.33203125" bestFit="1" customWidth="1"/>
    <col min="2" max="2" width="27.44140625" bestFit="1" customWidth="1"/>
    <col min="3" max="3" width="13.44140625" hidden="1" customWidth="1"/>
    <col min="4" max="4" width="15" hidden="1" customWidth="1"/>
    <col min="5" max="5" width="30.21875" customWidth="1"/>
    <col min="6" max="6" width="36.6640625" customWidth="1"/>
    <col min="7" max="7" width="22.6640625" bestFit="1" customWidth="1"/>
    <col min="8" max="8" width="21.33203125" bestFit="1" customWidth="1"/>
    <col min="9" max="10" width="8.6640625" bestFit="1" customWidth="1"/>
    <col min="11" max="11" width="19.6640625" style="3" bestFit="1" customWidth="1"/>
    <col min="12" max="12" width="16.6640625" bestFit="1" customWidth="1"/>
    <col min="13" max="13" width="14.88671875" bestFit="1" customWidth="1"/>
    <col min="14" max="14" width="12.6640625" bestFit="1" customWidth="1"/>
    <col min="15" max="15" width="16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23</v>
      </c>
      <c r="B2" t="s">
        <v>117</v>
      </c>
      <c r="C2" t="s">
        <v>117</v>
      </c>
      <c r="D2" t="s">
        <v>117</v>
      </c>
      <c r="E2" t="s">
        <v>129</v>
      </c>
      <c r="F2" t="s">
        <v>130</v>
      </c>
      <c r="G2" t="s">
        <v>20</v>
      </c>
      <c r="H2" t="s">
        <v>21</v>
      </c>
      <c r="I2" t="s">
        <v>22</v>
      </c>
      <c r="J2">
        <v>1</v>
      </c>
      <c r="K2" s="4">
        <v>-26.7</v>
      </c>
      <c r="L2">
        <v>0</v>
      </c>
      <c r="M2">
        <v>0</v>
      </c>
      <c r="N2">
        <v>-26.7</v>
      </c>
      <c r="O2">
        <v>0</v>
      </c>
    </row>
    <row r="3" spans="1:15" x14ac:dyDescent="0.25">
      <c r="A3" t="s">
        <v>23</v>
      </c>
      <c r="B3" t="s">
        <v>17</v>
      </c>
      <c r="C3" t="s">
        <v>17</v>
      </c>
      <c r="D3" t="s">
        <v>17</v>
      </c>
      <c r="E3" t="s">
        <v>24</v>
      </c>
      <c r="F3" t="s">
        <v>25</v>
      </c>
      <c r="G3" t="s">
        <v>26</v>
      </c>
      <c r="H3" t="s">
        <v>27</v>
      </c>
      <c r="I3" t="s">
        <v>28</v>
      </c>
      <c r="J3">
        <v>0</v>
      </c>
      <c r="K3" s="5">
        <v>13800</v>
      </c>
      <c r="L3">
        <v>0</v>
      </c>
      <c r="M3">
        <v>0</v>
      </c>
      <c r="N3">
        <v>0</v>
      </c>
      <c r="O3">
        <v>13800</v>
      </c>
    </row>
    <row r="4" spans="1:15" x14ac:dyDescent="0.25">
      <c r="A4" t="s">
        <v>23</v>
      </c>
      <c r="B4" t="s">
        <v>117</v>
      </c>
      <c r="C4" t="s">
        <v>117</v>
      </c>
      <c r="D4" t="s">
        <v>117</v>
      </c>
      <c r="E4" t="s">
        <v>124</v>
      </c>
      <c r="F4" t="s">
        <v>125</v>
      </c>
      <c r="G4" t="s">
        <v>20</v>
      </c>
      <c r="H4" t="s">
        <v>21</v>
      </c>
      <c r="I4" t="s">
        <v>22</v>
      </c>
      <c r="J4">
        <v>1</v>
      </c>
      <c r="K4" s="4">
        <v>-20</v>
      </c>
      <c r="L4">
        <v>0</v>
      </c>
      <c r="M4">
        <v>0</v>
      </c>
      <c r="N4">
        <v>-20</v>
      </c>
      <c r="O4">
        <v>0</v>
      </c>
    </row>
    <row r="5" spans="1:15" x14ac:dyDescent="0.25">
      <c r="A5" t="s">
        <v>23</v>
      </c>
      <c r="B5" t="s">
        <v>117</v>
      </c>
      <c r="C5" t="s">
        <v>117</v>
      </c>
      <c r="D5" t="s">
        <v>117</v>
      </c>
      <c r="E5" t="s">
        <v>118</v>
      </c>
      <c r="F5" t="s">
        <v>119</v>
      </c>
      <c r="G5" t="s">
        <v>20</v>
      </c>
      <c r="H5" t="s">
        <v>21</v>
      </c>
      <c r="I5" t="s">
        <v>22</v>
      </c>
      <c r="J5">
        <v>0</v>
      </c>
      <c r="K5" s="4">
        <v>-3.3</v>
      </c>
      <c r="L5">
        <v>0</v>
      </c>
      <c r="M5">
        <v>0</v>
      </c>
      <c r="N5">
        <v>-3.3</v>
      </c>
      <c r="O5">
        <v>0</v>
      </c>
    </row>
    <row r="6" spans="1:15" x14ac:dyDescent="0.25">
      <c r="A6" t="s">
        <v>15</v>
      </c>
      <c r="B6" t="s">
        <v>16</v>
      </c>
      <c r="C6" t="s">
        <v>17</v>
      </c>
      <c r="D6" t="s">
        <v>17</v>
      </c>
      <c r="E6" t="s">
        <v>18</v>
      </c>
      <c r="F6" t="s">
        <v>19</v>
      </c>
      <c r="G6" t="s">
        <v>20</v>
      </c>
      <c r="H6" t="s">
        <v>21</v>
      </c>
      <c r="I6" t="s">
        <v>22</v>
      </c>
      <c r="J6">
        <v>1</v>
      </c>
      <c r="K6" s="4">
        <v>-52</v>
      </c>
      <c r="L6">
        <v>0</v>
      </c>
      <c r="M6">
        <v>0</v>
      </c>
      <c r="N6">
        <v>-52</v>
      </c>
      <c r="O6">
        <v>0</v>
      </c>
    </row>
    <row r="7" spans="1:15" x14ac:dyDescent="0.25">
      <c r="A7" t="s">
        <v>23</v>
      </c>
      <c r="B7" t="s">
        <v>37</v>
      </c>
      <c r="C7" t="s">
        <v>37</v>
      </c>
      <c r="D7" t="s">
        <v>37</v>
      </c>
      <c r="E7" t="s">
        <v>38</v>
      </c>
      <c r="F7" t="s">
        <v>39</v>
      </c>
      <c r="G7" t="s">
        <v>40</v>
      </c>
      <c r="H7" t="s">
        <v>27</v>
      </c>
      <c r="I7" t="s">
        <v>22</v>
      </c>
      <c r="J7">
        <v>0</v>
      </c>
      <c r="K7" s="5">
        <v>-19.899999999999999</v>
      </c>
      <c r="L7">
        <v>0</v>
      </c>
      <c r="M7">
        <v>0</v>
      </c>
      <c r="N7">
        <v>-19.899999999999999</v>
      </c>
      <c r="O7">
        <v>0</v>
      </c>
    </row>
    <row r="8" spans="1:15" x14ac:dyDescent="0.25">
      <c r="A8" t="s">
        <v>15</v>
      </c>
      <c r="B8" t="s">
        <v>16</v>
      </c>
      <c r="C8" t="s">
        <v>94</v>
      </c>
      <c r="D8" t="s">
        <v>94</v>
      </c>
      <c r="E8" t="s">
        <v>69</v>
      </c>
      <c r="F8" t="s">
        <v>95</v>
      </c>
      <c r="G8" t="s">
        <v>20</v>
      </c>
      <c r="H8" t="s">
        <v>21</v>
      </c>
      <c r="I8" t="s">
        <v>22</v>
      </c>
      <c r="J8">
        <v>1</v>
      </c>
      <c r="K8" s="4">
        <v>-25.92</v>
      </c>
      <c r="L8">
        <v>0</v>
      </c>
      <c r="M8">
        <v>0</v>
      </c>
      <c r="N8">
        <v>-25.92</v>
      </c>
      <c r="O8">
        <v>0</v>
      </c>
    </row>
    <row r="9" spans="1:15" x14ac:dyDescent="0.25">
      <c r="A9" t="s">
        <v>15</v>
      </c>
      <c r="B9" t="s">
        <v>16</v>
      </c>
      <c r="C9" t="s">
        <v>64</v>
      </c>
      <c r="D9" t="s">
        <v>64</v>
      </c>
      <c r="E9" t="s">
        <v>69</v>
      </c>
      <c r="F9" t="s">
        <v>70</v>
      </c>
      <c r="G9" t="s">
        <v>20</v>
      </c>
      <c r="H9" t="s">
        <v>21</v>
      </c>
      <c r="I9" t="s">
        <v>22</v>
      </c>
      <c r="J9">
        <v>1</v>
      </c>
      <c r="K9" s="4">
        <v>-24.39</v>
      </c>
      <c r="L9">
        <v>0</v>
      </c>
      <c r="M9">
        <v>0</v>
      </c>
      <c r="N9">
        <v>-24.39</v>
      </c>
      <c r="O9">
        <v>0</v>
      </c>
    </row>
    <row r="10" spans="1:15" x14ac:dyDescent="0.25">
      <c r="A10" t="s">
        <v>23</v>
      </c>
      <c r="B10" t="s">
        <v>37</v>
      </c>
      <c r="C10" t="s">
        <v>37</v>
      </c>
      <c r="D10" t="s">
        <v>37</v>
      </c>
      <c r="E10" t="s">
        <v>48</v>
      </c>
      <c r="F10" t="s">
        <v>49</v>
      </c>
      <c r="G10" t="s">
        <v>50</v>
      </c>
      <c r="H10" t="s">
        <v>27</v>
      </c>
      <c r="I10" t="s">
        <v>22</v>
      </c>
      <c r="J10">
        <v>0</v>
      </c>
      <c r="K10" s="5">
        <v>-2000</v>
      </c>
      <c r="L10">
        <v>0</v>
      </c>
      <c r="M10">
        <v>0</v>
      </c>
      <c r="N10">
        <v>-2000</v>
      </c>
      <c r="O10">
        <v>0</v>
      </c>
    </row>
    <row r="11" spans="1:15" x14ac:dyDescent="0.25">
      <c r="A11" t="s">
        <v>23</v>
      </c>
      <c r="B11" t="s">
        <v>32</v>
      </c>
      <c r="C11" t="s">
        <v>17</v>
      </c>
      <c r="D11" t="s">
        <v>17</v>
      </c>
      <c r="E11" t="s">
        <v>33</v>
      </c>
      <c r="F11" t="s">
        <v>34</v>
      </c>
      <c r="G11" t="s">
        <v>31</v>
      </c>
      <c r="H11" t="s">
        <v>21</v>
      </c>
      <c r="I11" t="s">
        <v>22</v>
      </c>
      <c r="J11">
        <v>2</v>
      </c>
      <c r="K11" s="4">
        <v>-70</v>
      </c>
      <c r="L11">
        <v>0</v>
      </c>
      <c r="M11">
        <v>0</v>
      </c>
      <c r="N11">
        <v>-70</v>
      </c>
      <c r="O11">
        <v>0</v>
      </c>
    </row>
    <row r="12" spans="1:15" x14ac:dyDescent="0.25">
      <c r="A12" t="s">
        <v>23</v>
      </c>
      <c r="B12" t="s">
        <v>17</v>
      </c>
      <c r="C12" t="s">
        <v>17</v>
      </c>
      <c r="D12" t="s">
        <v>17</v>
      </c>
      <c r="E12" t="s">
        <v>35</v>
      </c>
      <c r="F12" t="s">
        <v>36</v>
      </c>
      <c r="G12" t="s">
        <v>20</v>
      </c>
      <c r="H12" t="s">
        <v>21</v>
      </c>
      <c r="I12" t="s">
        <v>22</v>
      </c>
      <c r="J12">
        <v>1</v>
      </c>
      <c r="K12" s="4">
        <v>-46</v>
      </c>
      <c r="L12">
        <v>0</v>
      </c>
      <c r="M12">
        <v>0</v>
      </c>
      <c r="N12">
        <v>-46</v>
      </c>
      <c r="O12">
        <v>0</v>
      </c>
    </row>
    <row r="13" spans="1:15" x14ac:dyDescent="0.25">
      <c r="A13" t="s">
        <v>23</v>
      </c>
      <c r="B13" t="s">
        <v>37</v>
      </c>
      <c r="C13" t="s">
        <v>37</v>
      </c>
      <c r="D13" t="s">
        <v>37</v>
      </c>
      <c r="E13" t="s">
        <v>48</v>
      </c>
      <c r="F13" t="s">
        <v>56</v>
      </c>
      <c r="G13" t="s">
        <v>57</v>
      </c>
      <c r="H13" t="s">
        <v>27</v>
      </c>
      <c r="I13" t="s">
        <v>28</v>
      </c>
      <c r="J13">
        <v>0</v>
      </c>
      <c r="K13" s="5">
        <v>500</v>
      </c>
      <c r="L13">
        <v>0</v>
      </c>
      <c r="M13">
        <v>0</v>
      </c>
      <c r="N13">
        <v>0</v>
      </c>
      <c r="O13">
        <v>500</v>
      </c>
    </row>
    <row r="14" spans="1:15" x14ac:dyDescent="0.25">
      <c r="A14" t="s">
        <v>23</v>
      </c>
      <c r="B14" t="s">
        <v>17</v>
      </c>
      <c r="C14" t="s">
        <v>17</v>
      </c>
      <c r="D14" t="s">
        <v>17</v>
      </c>
      <c r="E14" t="s">
        <v>29</v>
      </c>
      <c r="F14" t="s">
        <v>30</v>
      </c>
      <c r="G14" t="s">
        <v>31</v>
      </c>
      <c r="H14" t="s">
        <v>21</v>
      </c>
      <c r="I14" t="s">
        <v>22</v>
      </c>
      <c r="J14">
        <v>1</v>
      </c>
      <c r="K14" s="4">
        <v>-34.799999999999997</v>
      </c>
      <c r="L14">
        <v>0</v>
      </c>
      <c r="M14">
        <v>0</v>
      </c>
      <c r="N14">
        <v>-34.799999999999997</v>
      </c>
      <c r="O14">
        <v>0</v>
      </c>
    </row>
    <row r="15" spans="1:15" x14ac:dyDescent="0.25">
      <c r="A15" t="s">
        <v>23</v>
      </c>
      <c r="B15" t="s">
        <v>37</v>
      </c>
      <c r="C15" t="s">
        <v>37</v>
      </c>
      <c r="D15" t="s">
        <v>37</v>
      </c>
      <c r="E15" t="s">
        <v>54</v>
      </c>
      <c r="F15" t="s">
        <v>55</v>
      </c>
      <c r="G15" t="s">
        <v>43</v>
      </c>
      <c r="H15" t="s">
        <v>21</v>
      </c>
      <c r="I15" t="s">
        <v>22</v>
      </c>
      <c r="J15">
        <v>0</v>
      </c>
      <c r="K15" s="4">
        <v>-3493.16</v>
      </c>
      <c r="L15">
        <v>0</v>
      </c>
      <c r="M15">
        <v>0</v>
      </c>
      <c r="N15">
        <v>-3493.16</v>
      </c>
      <c r="O15">
        <v>0</v>
      </c>
    </row>
    <row r="16" spans="1:15" x14ac:dyDescent="0.25">
      <c r="A16" t="s">
        <v>23</v>
      </c>
      <c r="B16" t="s">
        <v>37</v>
      </c>
      <c r="C16" t="s">
        <v>37</v>
      </c>
      <c r="D16" t="s">
        <v>37</v>
      </c>
      <c r="E16" t="s">
        <v>41</v>
      </c>
      <c r="F16" t="s">
        <v>42</v>
      </c>
      <c r="G16" t="s">
        <v>43</v>
      </c>
      <c r="H16" t="s">
        <v>21</v>
      </c>
      <c r="I16" t="s">
        <v>22</v>
      </c>
      <c r="J16">
        <v>0</v>
      </c>
      <c r="K16" s="4">
        <v>-2506.86</v>
      </c>
      <c r="L16">
        <v>0</v>
      </c>
      <c r="M16">
        <v>0</v>
      </c>
      <c r="N16">
        <v>-2506.86</v>
      </c>
      <c r="O16">
        <v>0</v>
      </c>
    </row>
    <row r="17" spans="1:15" x14ac:dyDescent="0.25">
      <c r="A17" t="s">
        <v>23</v>
      </c>
      <c r="B17" t="s">
        <v>64</v>
      </c>
      <c r="C17" t="s">
        <v>64</v>
      </c>
      <c r="D17" t="s">
        <v>64</v>
      </c>
      <c r="E17" t="s">
        <v>38</v>
      </c>
      <c r="F17" t="s">
        <v>67</v>
      </c>
      <c r="G17" t="s">
        <v>68</v>
      </c>
      <c r="H17" t="s">
        <v>27</v>
      </c>
      <c r="I17" t="s">
        <v>22</v>
      </c>
      <c r="J17">
        <v>0</v>
      </c>
      <c r="K17" s="5">
        <v>-40</v>
      </c>
      <c r="L17">
        <v>0</v>
      </c>
      <c r="M17">
        <v>0</v>
      </c>
      <c r="N17">
        <v>-40</v>
      </c>
      <c r="O17">
        <v>0</v>
      </c>
    </row>
    <row r="18" spans="1:15" x14ac:dyDescent="0.25">
      <c r="A18" t="s">
        <v>23</v>
      </c>
      <c r="B18" t="s">
        <v>37</v>
      </c>
      <c r="C18" t="s">
        <v>37</v>
      </c>
      <c r="D18" t="s">
        <v>37</v>
      </c>
      <c r="E18" t="s">
        <v>51</v>
      </c>
      <c r="F18" t="s">
        <v>52</v>
      </c>
      <c r="G18" t="s">
        <v>53</v>
      </c>
      <c r="H18" t="s">
        <v>21</v>
      </c>
      <c r="I18" t="s">
        <v>28</v>
      </c>
      <c r="J18">
        <v>0</v>
      </c>
      <c r="K18" s="4">
        <v>6000</v>
      </c>
      <c r="L18">
        <v>0</v>
      </c>
      <c r="M18">
        <v>0</v>
      </c>
      <c r="N18">
        <v>0</v>
      </c>
      <c r="O18">
        <v>6000</v>
      </c>
    </row>
    <row r="19" spans="1:15" x14ac:dyDescent="0.25">
      <c r="A19" t="s">
        <v>23</v>
      </c>
      <c r="B19" t="s">
        <v>58</v>
      </c>
      <c r="C19" t="s">
        <v>58</v>
      </c>
      <c r="D19" t="s">
        <v>58</v>
      </c>
      <c r="E19" t="s">
        <v>59</v>
      </c>
      <c r="F19" t="s">
        <v>60</v>
      </c>
      <c r="G19" t="s">
        <v>61</v>
      </c>
      <c r="H19" t="s">
        <v>21</v>
      </c>
      <c r="I19" t="s">
        <v>22</v>
      </c>
      <c r="J19">
        <v>1</v>
      </c>
      <c r="K19" s="4">
        <v>-101.86</v>
      </c>
      <c r="L19">
        <v>0</v>
      </c>
      <c r="M19">
        <v>0</v>
      </c>
      <c r="N19">
        <v>-101.86</v>
      </c>
      <c r="O19">
        <v>0</v>
      </c>
    </row>
    <row r="20" spans="1:15" x14ac:dyDescent="0.25">
      <c r="A20" t="s">
        <v>23</v>
      </c>
      <c r="B20" t="s">
        <v>62</v>
      </c>
      <c r="C20" t="s">
        <v>62</v>
      </c>
      <c r="D20" t="s">
        <v>62</v>
      </c>
      <c r="E20" t="s">
        <v>54</v>
      </c>
      <c r="F20" t="s">
        <v>55</v>
      </c>
      <c r="G20" t="s">
        <v>63</v>
      </c>
      <c r="H20" t="s">
        <v>21</v>
      </c>
      <c r="I20" t="s">
        <v>22</v>
      </c>
      <c r="J20">
        <v>0</v>
      </c>
      <c r="K20" s="4">
        <v>-6000</v>
      </c>
      <c r="L20">
        <v>0</v>
      </c>
      <c r="M20">
        <v>0</v>
      </c>
      <c r="N20">
        <v>-6000</v>
      </c>
      <c r="O20">
        <v>0</v>
      </c>
    </row>
    <row r="21" spans="1:15" x14ac:dyDescent="0.25">
      <c r="A21" t="s">
        <v>23</v>
      </c>
      <c r="B21" t="s">
        <v>64</v>
      </c>
      <c r="C21" t="s">
        <v>64</v>
      </c>
      <c r="D21" t="s">
        <v>64</v>
      </c>
      <c r="E21" t="s">
        <v>74</v>
      </c>
      <c r="F21" t="s">
        <v>75</v>
      </c>
      <c r="G21" t="s">
        <v>50</v>
      </c>
      <c r="H21" t="s">
        <v>21</v>
      </c>
      <c r="I21" t="s">
        <v>22</v>
      </c>
      <c r="J21">
        <v>0</v>
      </c>
      <c r="K21" s="4">
        <v>-350</v>
      </c>
      <c r="L21">
        <v>0</v>
      </c>
      <c r="M21">
        <v>0</v>
      </c>
      <c r="N21">
        <v>-350</v>
      </c>
      <c r="O21">
        <v>0</v>
      </c>
    </row>
    <row r="22" spans="1:15" x14ac:dyDescent="0.25">
      <c r="A22" t="s">
        <v>23</v>
      </c>
      <c r="B22" t="s">
        <v>44</v>
      </c>
      <c r="C22" t="s">
        <v>44</v>
      </c>
      <c r="D22" t="s">
        <v>44</v>
      </c>
      <c r="E22" t="s">
        <v>54</v>
      </c>
      <c r="F22" t="s">
        <v>79</v>
      </c>
      <c r="G22" t="s">
        <v>50</v>
      </c>
      <c r="H22" t="s">
        <v>21</v>
      </c>
      <c r="I22" t="s">
        <v>22</v>
      </c>
      <c r="J22">
        <v>0</v>
      </c>
      <c r="K22" s="4">
        <v>-318.26</v>
      </c>
      <c r="L22">
        <v>0</v>
      </c>
      <c r="M22">
        <v>0</v>
      </c>
      <c r="N22">
        <v>-318.26</v>
      </c>
      <c r="O22">
        <v>0</v>
      </c>
    </row>
    <row r="23" spans="1:15" x14ac:dyDescent="0.25">
      <c r="A23" t="s">
        <v>23</v>
      </c>
      <c r="B23" t="s">
        <v>44</v>
      </c>
      <c r="C23" t="s">
        <v>44</v>
      </c>
      <c r="D23" t="s">
        <v>44</v>
      </c>
      <c r="E23" t="s">
        <v>80</v>
      </c>
      <c r="F23" t="s">
        <v>81</v>
      </c>
      <c r="G23" t="s">
        <v>20</v>
      </c>
      <c r="H23" t="s">
        <v>21</v>
      </c>
      <c r="I23" t="s">
        <v>22</v>
      </c>
      <c r="J23">
        <v>1</v>
      </c>
      <c r="K23" s="4">
        <v>-12</v>
      </c>
      <c r="L23">
        <v>0</v>
      </c>
      <c r="M23">
        <v>0</v>
      </c>
      <c r="N23">
        <v>-12</v>
      </c>
      <c r="O23">
        <v>0</v>
      </c>
    </row>
    <row r="24" spans="1:15" x14ac:dyDescent="0.25">
      <c r="A24" t="s">
        <v>23</v>
      </c>
      <c r="B24" t="s">
        <v>44</v>
      </c>
      <c r="C24" t="s">
        <v>44</v>
      </c>
      <c r="D24" t="s">
        <v>44</v>
      </c>
      <c r="E24" t="s">
        <v>77</v>
      </c>
      <c r="F24" t="s">
        <v>78</v>
      </c>
      <c r="G24" t="s">
        <v>20</v>
      </c>
      <c r="H24" t="s">
        <v>21</v>
      </c>
      <c r="I24" t="s">
        <v>22</v>
      </c>
      <c r="J24">
        <v>1</v>
      </c>
      <c r="K24" s="4">
        <v>-10</v>
      </c>
      <c r="L24">
        <v>0</v>
      </c>
      <c r="M24">
        <v>0</v>
      </c>
      <c r="N24">
        <v>-10</v>
      </c>
      <c r="O24">
        <v>0</v>
      </c>
    </row>
    <row r="25" spans="1:15" x14ac:dyDescent="0.25">
      <c r="A25" t="s">
        <v>23</v>
      </c>
      <c r="B25" t="s">
        <v>82</v>
      </c>
      <c r="C25" t="s">
        <v>82</v>
      </c>
      <c r="D25" t="s">
        <v>82</v>
      </c>
      <c r="E25" t="s">
        <v>83</v>
      </c>
      <c r="F25" t="s">
        <v>84</v>
      </c>
      <c r="G25" t="s">
        <v>85</v>
      </c>
      <c r="H25" t="s">
        <v>27</v>
      </c>
      <c r="I25" t="s">
        <v>22</v>
      </c>
      <c r="J25">
        <v>0</v>
      </c>
      <c r="K25" s="5">
        <v>-1448</v>
      </c>
      <c r="L25">
        <v>0</v>
      </c>
      <c r="M25">
        <v>0</v>
      </c>
      <c r="N25">
        <v>-1448</v>
      </c>
      <c r="O25">
        <v>0</v>
      </c>
    </row>
    <row r="26" spans="1:15" x14ac:dyDescent="0.25">
      <c r="A26" t="s">
        <v>23</v>
      </c>
      <c r="B26" t="s">
        <v>82</v>
      </c>
      <c r="C26" t="s">
        <v>86</v>
      </c>
      <c r="D26" t="s">
        <v>86</v>
      </c>
      <c r="E26" t="s">
        <v>87</v>
      </c>
      <c r="F26" t="s">
        <v>88</v>
      </c>
      <c r="G26" t="s">
        <v>26</v>
      </c>
      <c r="H26" t="s">
        <v>27</v>
      </c>
      <c r="I26" t="s">
        <v>28</v>
      </c>
      <c r="J26">
        <v>0</v>
      </c>
      <c r="K26" s="5">
        <v>6300</v>
      </c>
      <c r="L26">
        <v>0</v>
      </c>
      <c r="M26">
        <v>0</v>
      </c>
      <c r="N26">
        <v>0</v>
      </c>
      <c r="O26">
        <v>6300</v>
      </c>
    </row>
    <row r="27" spans="1:15" x14ac:dyDescent="0.25">
      <c r="A27" t="s">
        <v>23</v>
      </c>
      <c r="B27" t="s">
        <v>86</v>
      </c>
      <c r="C27" t="s">
        <v>86</v>
      </c>
      <c r="D27" t="s">
        <v>86</v>
      </c>
      <c r="E27" t="s">
        <v>89</v>
      </c>
      <c r="F27" t="s">
        <v>90</v>
      </c>
      <c r="G27" t="s">
        <v>50</v>
      </c>
      <c r="H27" t="s">
        <v>27</v>
      </c>
      <c r="I27" t="s">
        <v>22</v>
      </c>
      <c r="J27">
        <v>0</v>
      </c>
      <c r="K27" s="5">
        <v>-270</v>
      </c>
      <c r="L27">
        <v>0</v>
      </c>
      <c r="M27">
        <v>0</v>
      </c>
      <c r="N27">
        <v>-270</v>
      </c>
      <c r="O27">
        <v>0</v>
      </c>
    </row>
    <row r="28" spans="1:15" x14ac:dyDescent="0.25">
      <c r="A28" t="s">
        <v>23</v>
      </c>
      <c r="B28" t="s">
        <v>44</v>
      </c>
      <c r="C28" t="s">
        <v>37</v>
      </c>
      <c r="D28" t="s">
        <v>37</v>
      </c>
      <c r="E28" t="s">
        <v>45</v>
      </c>
      <c r="F28" t="s">
        <v>46</v>
      </c>
      <c r="G28" t="s">
        <v>47</v>
      </c>
      <c r="H28" t="s">
        <v>21</v>
      </c>
      <c r="I28" t="s">
        <v>28</v>
      </c>
      <c r="J28">
        <v>1</v>
      </c>
      <c r="K28" s="4">
        <v>2955</v>
      </c>
      <c r="L28">
        <v>0</v>
      </c>
      <c r="M28">
        <v>0</v>
      </c>
      <c r="N28">
        <v>0</v>
      </c>
      <c r="O28">
        <v>2955</v>
      </c>
    </row>
    <row r="29" spans="1:15" x14ac:dyDescent="0.25">
      <c r="A29" t="s">
        <v>23</v>
      </c>
      <c r="B29" t="s">
        <v>44</v>
      </c>
      <c r="C29" t="s">
        <v>64</v>
      </c>
      <c r="D29" t="s">
        <v>64</v>
      </c>
      <c r="E29" t="s">
        <v>65</v>
      </c>
      <c r="F29" t="s">
        <v>66</v>
      </c>
      <c r="G29" t="s">
        <v>47</v>
      </c>
      <c r="H29" t="s">
        <v>21</v>
      </c>
      <c r="I29" t="s">
        <v>28</v>
      </c>
      <c r="J29">
        <v>1</v>
      </c>
      <c r="K29" s="4">
        <v>3000</v>
      </c>
      <c r="L29">
        <v>0</v>
      </c>
      <c r="M29">
        <v>0</v>
      </c>
      <c r="N29">
        <v>0</v>
      </c>
      <c r="O29">
        <v>3000</v>
      </c>
    </row>
    <row r="30" spans="1:15" x14ac:dyDescent="0.25">
      <c r="A30" t="s">
        <v>15</v>
      </c>
      <c r="B30" t="s">
        <v>96</v>
      </c>
      <c r="C30" t="s">
        <v>94</v>
      </c>
      <c r="D30" t="s">
        <v>94</v>
      </c>
      <c r="E30" t="s">
        <v>97</v>
      </c>
      <c r="F30" t="s">
        <v>98</v>
      </c>
      <c r="G30" t="s">
        <v>47</v>
      </c>
      <c r="H30" t="s">
        <v>99</v>
      </c>
      <c r="I30" t="s">
        <v>28</v>
      </c>
      <c r="J30">
        <v>2</v>
      </c>
      <c r="K30" s="5">
        <v>526</v>
      </c>
      <c r="L30">
        <v>0</v>
      </c>
      <c r="M30">
        <v>0</v>
      </c>
      <c r="N30">
        <v>0</v>
      </c>
      <c r="O30">
        <v>526</v>
      </c>
    </row>
    <row r="31" spans="1:15" x14ac:dyDescent="0.25">
      <c r="A31" t="s">
        <v>15</v>
      </c>
      <c r="B31" t="s">
        <v>96</v>
      </c>
      <c r="C31" t="s">
        <v>96</v>
      </c>
      <c r="D31" t="s">
        <v>96</v>
      </c>
      <c r="E31" t="s">
        <v>100</v>
      </c>
      <c r="F31" t="s">
        <v>101</v>
      </c>
      <c r="G31" t="s">
        <v>102</v>
      </c>
      <c r="H31" t="s">
        <v>99</v>
      </c>
      <c r="I31" t="s">
        <v>22</v>
      </c>
      <c r="J31">
        <v>0</v>
      </c>
      <c r="K31" s="5">
        <v>-2.4900000000000002</v>
      </c>
      <c r="L31">
        <v>0</v>
      </c>
      <c r="M31">
        <v>0</v>
      </c>
      <c r="N31">
        <v>-2.4900000000000002</v>
      </c>
      <c r="O31">
        <v>0</v>
      </c>
    </row>
    <row r="32" spans="1:15" x14ac:dyDescent="0.25">
      <c r="A32" t="s">
        <v>23</v>
      </c>
      <c r="B32" t="s">
        <v>103</v>
      </c>
      <c r="C32" t="s">
        <v>103</v>
      </c>
      <c r="D32" t="s">
        <v>103</v>
      </c>
      <c r="E32" t="s">
        <v>104</v>
      </c>
      <c r="F32" t="s">
        <v>105</v>
      </c>
      <c r="G32" t="s">
        <v>20</v>
      </c>
      <c r="H32" t="s">
        <v>27</v>
      </c>
      <c r="I32" t="s">
        <v>22</v>
      </c>
      <c r="J32">
        <v>1</v>
      </c>
      <c r="K32" s="5">
        <v>-57</v>
      </c>
      <c r="L32">
        <v>0</v>
      </c>
      <c r="M32">
        <v>0</v>
      </c>
      <c r="N32">
        <v>-57</v>
      </c>
      <c r="O32">
        <v>0</v>
      </c>
    </row>
    <row r="33" spans="1:15" x14ac:dyDescent="0.25">
      <c r="A33" t="s">
        <v>23</v>
      </c>
      <c r="B33" t="s">
        <v>91</v>
      </c>
      <c r="C33" t="s">
        <v>91</v>
      </c>
      <c r="D33" t="s">
        <v>91</v>
      </c>
      <c r="E33" t="s">
        <v>92</v>
      </c>
      <c r="F33" t="s">
        <v>93</v>
      </c>
      <c r="G33" t="s">
        <v>20</v>
      </c>
      <c r="H33" t="s">
        <v>21</v>
      </c>
      <c r="I33" t="s">
        <v>22</v>
      </c>
      <c r="J33">
        <v>0</v>
      </c>
      <c r="K33" s="4">
        <v>-136.5</v>
      </c>
      <c r="L33">
        <v>0</v>
      </c>
      <c r="M33">
        <v>0</v>
      </c>
      <c r="N33">
        <v>-136.5</v>
      </c>
      <c r="O33">
        <v>0</v>
      </c>
    </row>
    <row r="34" spans="1:15" x14ac:dyDescent="0.25">
      <c r="A34" t="s">
        <v>23</v>
      </c>
      <c r="B34" t="s">
        <v>103</v>
      </c>
      <c r="C34" t="s">
        <v>103</v>
      </c>
      <c r="D34" t="s">
        <v>103</v>
      </c>
      <c r="E34" t="s">
        <v>106</v>
      </c>
      <c r="F34" t="s">
        <v>107</v>
      </c>
      <c r="G34" t="s">
        <v>20</v>
      </c>
      <c r="H34" t="s">
        <v>21</v>
      </c>
      <c r="I34" t="s">
        <v>22</v>
      </c>
      <c r="J34">
        <v>1</v>
      </c>
      <c r="K34" s="4">
        <v>-148.88</v>
      </c>
      <c r="L34">
        <v>0</v>
      </c>
      <c r="M34">
        <v>0</v>
      </c>
      <c r="N34">
        <v>-148.88</v>
      </c>
      <c r="O34">
        <v>0</v>
      </c>
    </row>
    <row r="35" spans="1:15" x14ac:dyDescent="0.25">
      <c r="A35" t="s">
        <v>23</v>
      </c>
      <c r="B35" t="s">
        <v>103</v>
      </c>
      <c r="C35" t="s">
        <v>103</v>
      </c>
      <c r="D35" t="s">
        <v>103</v>
      </c>
      <c r="E35" t="s">
        <v>112</v>
      </c>
      <c r="F35" t="s">
        <v>113</v>
      </c>
      <c r="G35" t="s">
        <v>20</v>
      </c>
      <c r="H35" t="s">
        <v>27</v>
      </c>
      <c r="I35" t="s">
        <v>22</v>
      </c>
      <c r="J35">
        <v>1</v>
      </c>
      <c r="K35" s="5">
        <v>-38.9</v>
      </c>
      <c r="L35">
        <v>0</v>
      </c>
      <c r="M35">
        <v>0</v>
      </c>
      <c r="N35">
        <v>-38.9</v>
      </c>
      <c r="O35">
        <v>0</v>
      </c>
    </row>
    <row r="36" spans="1:15" x14ac:dyDescent="0.25">
      <c r="A36" t="s">
        <v>23</v>
      </c>
      <c r="B36" t="s">
        <v>108</v>
      </c>
      <c r="C36" t="s">
        <v>108</v>
      </c>
      <c r="D36" t="s">
        <v>108</v>
      </c>
      <c r="E36" t="s">
        <v>115</v>
      </c>
      <c r="F36" t="s">
        <v>116</v>
      </c>
      <c r="G36" t="s">
        <v>20</v>
      </c>
      <c r="H36" t="s">
        <v>21</v>
      </c>
      <c r="I36" t="s">
        <v>22</v>
      </c>
      <c r="J36">
        <v>1</v>
      </c>
      <c r="K36" s="4">
        <v>-40</v>
      </c>
      <c r="L36">
        <v>0</v>
      </c>
      <c r="M36">
        <v>0</v>
      </c>
      <c r="N36">
        <v>-40</v>
      </c>
      <c r="O36">
        <v>0</v>
      </c>
    </row>
    <row r="37" spans="1:15" x14ac:dyDescent="0.25">
      <c r="A37" t="s">
        <v>23</v>
      </c>
      <c r="B37" t="s">
        <v>108</v>
      </c>
      <c r="C37" t="s">
        <v>108</v>
      </c>
      <c r="D37" t="s">
        <v>108</v>
      </c>
      <c r="E37" t="s">
        <v>109</v>
      </c>
      <c r="F37" t="s">
        <v>114</v>
      </c>
      <c r="G37" t="s">
        <v>47</v>
      </c>
      <c r="H37" t="s">
        <v>21</v>
      </c>
      <c r="I37" t="s">
        <v>28</v>
      </c>
      <c r="J37">
        <v>0</v>
      </c>
      <c r="K37" s="4">
        <v>160</v>
      </c>
      <c r="L37">
        <v>0</v>
      </c>
      <c r="M37">
        <v>0</v>
      </c>
      <c r="N37">
        <v>0</v>
      </c>
      <c r="O37">
        <v>160</v>
      </c>
    </row>
    <row r="38" spans="1:15" x14ac:dyDescent="0.25">
      <c r="A38" t="s">
        <v>23</v>
      </c>
      <c r="B38" t="s">
        <v>108</v>
      </c>
      <c r="C38" t="s">
        <v>103</v>
      </c>
      <c r="D38" t="s">
        <v>103</v>
      </c>
      <c r="E38" t="s">
        <v>109</v>
      </c>
      <c r="F38" t="s">
        <v>110</v>
      </c>
      <c r="G38" t="s">
        <v>111</v>
      </c>
      <c r="H38" t="s">
        <v>21</v>
      </c>
      <c r="I38" t="s">
        <v>28</v>
      </c>
      <c r="J38">
        <v>0</v>
      </c>
      <c r="K38" s="4">
        <v>240</v>
      </c>
      <c r="L38">
        <v>0</v>
      </c>
      <c r="M38">
        <v>0</v>
      </c>
      <c r="N38">
        <v>0</v>
      </c>
      <c r="O38">
        <v>240</v>
      </c>
    </row>
    <row r="39" spans="1:15" x14ac:dyDescent="0.25">
      <c r="A39" t="s">
        <v>23</v>
      </c>
      <c r="B39" t="s">
        <v>117</v>
      </c>
      <c r="C39" t="s">
        <v>117</v>
      </c>
      <c r="D39" t="s">
        <v>117</v>
      </c>
      <c r="E39" t="s">
        <v>118</v>
      </c>
      <c r="F39" t="s">
        <v>131</v>
      </c>
      <c r="G39" t="s">
        <v>50</v>
      </c>
      <c r="H39" t="s">
        <v>21</v>
      </c>
      <c r="I39" t="s">
        <v>22</v>
      </c>
      <c r="J39">
        <v>1</v>
      </c>
      <c r="K39" s="4">
        <v>-100</v>
      </c>
      <c r="L39">
        <v>0</v>
      </c>
      <c r="M39">
        <v>0</v>
      </c>
      <c r="N39">
        <v>-100</v>
      </c>
      <c r="O39">
        <v>0</v>
      </c>
    </row>
    <row r="40" spans="1:15" x14ac:dyDescent="0.25">
      <c r="A40" t="s">
        <v>23</v>
      </c>
      <c r="B40" t="s">
        <v>117</v>
      </c>
      <c r="C40" t="s">
        <v>117</v>
      </c>
      <c r="D40" t="s">
        <v>117</v>
      </c>
      <c r="E40" t="s">
        <v>122</v>
      </c>
      <c r="F40" t="s">
        <v>123</v>
      </c>
      <c r="G40" t="s">
        <v>20</v>
      </c>
      <c r="H40" t="s">
        <v>21</v>
      </c>
      <c r="I40" t="s">
        <v>22</v>
      </c>
      <c r="J40">
        <v>1</v>
      </c>
      <c r="K40" s="4">
        <v>-69.8</v>
      </c>
      <c r="L40">
        <v>0</v>
      </c>
      <c r="M40">
        <v>0</v>
      </c>
      <c r="N40">
        <v>-69.8</v>
      </c>
      <c r="O40">
        <v>0</v>
      </c>
    </row>
    <row r="41" spans="1:15" x14ac:dyDescent="0.25">
      <c r="A41" t="s">
        <v>23</v>
      </c>
      <c r="B41" t="s">
        <v>117</v>
      </c>
      <c r="C41" t="s">
        <v>117</v>
      </c>
      <c r="D41" t="s">
        <v>117</v>
      </c>
      <c r="E41" t="s">
        <v>126</v>
      </c>
      <c r="F41" t="s">
        <v>127</v>
      </c>
      <c r="G41" t="s">
        <v>20</v>
      </c>
      <c r="H41" t="s">
        <v>21</v>
      </c>
      <c r="I41" t="s">
        <v>22</v>
      </c>
      <c r="J41">
        <v>1</v>
      </c>
      <c r="K41" s="4">
        <v>-68.83</v>
      </c>
      <c r="L41">
        <v>0</v>
      </c>
      <c r="M41">
        <v>0</v>
      </c>
      <c r="N41">
        <v>-68.83</v>
      </c>
      <c r="O41">
        <v>0</v>
      </c>
    </row>
    <row r="42" spans="1:15" x14ac:dyDescent="0.25">
      <c r="A42" t="s">
        <v>23</v>
      </c>
      <c r="B42" t="s">
        <v>117</v>
      </c>
      <c r="C42" t="s">
        <v>117</v>
      </c>
      <c r="D42" t="s">
        <v>117</v>
      </c>
      <c r="E42" t="s">
        <v>120</v>
      </c>
      <c r="F42" t="s">
        <v>121</v>
      </c>
      <c r="G42" t="s">
        <v>20</v>
      </c>
      <c r="H42" t="s">
        <v>21</v>
      </c>
      <c r="I42" t="s">
        <v>22</v>
      </c>
      <c r="J42">
        <v>1</v>
      </c>
      <c r="K42" s="4">
        <v>-66</v>
      </c>
      <c r="L42">
        <v>0</v>
      </c>
      <c r="M42">
        <v>0</v>
      </c>
      <c r="N42">
        <v>-66</v>
      </c>
      <c r="O42">
        <v>0</v>
      </c>
    </row>
    <row r="43" spans="1:15" x14ac:dyDescent="0.25">
      <c r="A43" t="s">
        <v>23</v>
      </c>
      <c r="B43" t="s">
        <v>117</v>
      </c>
      <c r="C43" t="s">
        <v>117</v>
      </c>
      <c r="D43" t="s">
        <v>117</v>
      </c>
      <c r="E43" t="s">
        <v>118</v>
      </c>
      <c r="F43" t="s">
        <v>128</v>
      </c>
      <c r="G43" t="s">
        <v>20</v>
      </c>
      <c r="H43" t="s">
        <v>21</v>
      </c>
      <c r="I43" t="s">
        <v>22</v>
      </c>
      <c r="J43">
        <v>0</v>
      </c>
      <c r="K43" s="4">
        <v>-4.2</v>
      </c>
      <c r="L43">
        <v>0</v>
      </c>
      <c r="M43">
        <v>0</v>
      </c>
      <c r="N43">
        <v>-4.2</v>
      </c>
      <c r="O43">
        <v>0</v>
      </c>
    </row>
    <row r="44" spans="1:15" x14ac:dyDescent="0.25">
      <c r="A44" t="s">
        <v>23</v>
      </c>
      <c r="B44" t="s">
        <v>132</v>
      </c>
      <c r="C44" t="s">
        <v>133</v>
      </c>
      <c r="D44" t="s">
        <v>133</v>
      </c>
      <c r="E44" t="s">
        <v>135</v>
      </c>
      <c r="F44" t="s">
        <v>136</v>
      </c>
      <c r="G44" t="s">
        <v>85</v>
      </c>
      <c r="H44" t="s">
        <v>21</v>
      </c>
      <c r="I44" t="s">
        <v>22</v>
      </c>
      <c r="J44">
        <v>0</v>
      </c>
      <c r="K44" s="4">
        <v>-1500</v>
      </c>
      <c r="L44">
        <v>0</v>
      </c>
      <c r="M44">
        <v>0</v>
      </c>
      <c r="N44">
        <v>-1500</v>
      </c>
      <c r="O44">
        <v>0</v>
      </c>
    </row>
    <row r="45" spans="1:15" x14ac:dyDescent="0.25">
      <c r="A45" t="s">
        <v>23</v>
      </c>
      <c r="B45" t="s">
        <v>132</v>
      </c>
      <c r="C45" t="s">
        <v>133</v>
      </c>
      <c r="D45" t="s">
        <v>133</v>
      </c>
      <c r="E45" t="s">
        <v>139</v>
      </c>
      <c r="F45" t="s">
        <v>136</v>
      </c>
      <c r="G45" t="s">
        <v>85</v>
      </c>
      <c r="H45" t="s">
        <v>21</v>
      </c>
      <c r="I45" t="s">
        <v>22</v>
      </c>
      <c r="J45">
        <v>0</v>
      </c>
      <c r="K45" s="4">
        <v>-1500</v>
      </c>
      <c r="L45">
        <v>0</v>
      </c>
      <c r="M45">
        <v>0</v>
      </c>
      <c r="N45">
        <v>-1500</v>
      </c>
      <c r="O45">
        <v>0</v>
      </c>
    </row>
    <row r="46" spans="1:15" x14ac:dyDescent="0.25">
      <c r="A46" t="s">
        <v>23</v>
      </c>
      <c r="B46" t="s">
        <v>132</v>
      </c>
      <c r="C46" t="s">
        <v>133</v>
      </c>
      <c r="D46" t="s">
        <v>133</v>
      </c>
      <c r="E46" t="s">
        <v>106</v>
      </c>
      <c r="F46" t="s">
        <v>134</v>
      </c>
      <c r="G46" t="s">
        <v>31</v>
      </c>
      <c r="H46" t="s">
        <v>27</v>
      </c>
      <c r="I46" t="s">
        <v>22</v>
      </c>
      <c r="J46">
        <v>1</v>
      </c>
      <c r="K46" s="5">
        <v>-29.5</v>
      </c>
      <c r="L46">
        <v>0</v>
      </c>
      <c r="M46">
        <v>0</v>
      </c>
      <c r="N46">
        <v>-29.5</v>
      </c>
      <c r="O46">
        <v>0</v>
      </c>
    </row>
    <row r="47" spans="1:15" x14ac:dyDescent="0.25">
      <c r="A47" t="s">
        <v>23</v>
      </c>
      <c r="B47" t="s">
        <v>132</v>
      </c>
      <c r="C47" t="s">
        <v>133</v>
      </c>
      <c r="D47" t="s">
        <v>133</v>
      </c>
      <c r="E47" t="s">
        <v>137</v>
      </c>
      <c r="F47" t="s">
        <v>138</v>
      </c>
      <c r="G47" t="s">
        <v>85</v>
      </c>
      <c r="H47" t="s">
        <v>21</v>
      </c>
      <c r="I47" t="s">
        <v>22</v>
      </c>
      <c r="J47">
        <v>0</v>
      </c>
      <c r="K47" s="4">
        <v>-550</v>
      </c>
      <c r="L47">
        <v>0</v>
      </c>
      <c r="M47">
        <v>0</v>
      </c>
      <c r="N47">
        <v>-550</v>
      </c>
      <c r="O47">
        <v>0</v>
      </c>
    </row>
    <row r="48" spans="1:15" x14ac:dyDescent="0.25">
      <c r="A48" t="s">
        <v>23</v>
      </c>
      <c r="B48" t="s">
        <v>71</v>
      </c>
      <c r="C48" t="s">
        <v>64</v>
      </c>
      <c r="D48" t="s">
        <v>64</v>
      </c>
      <c r="E48" t="s">
        <v>72</v>
      </c>
      <c r="F48" t="s">
        <v>73</v>
      </c>
      <c r="G48" t="s">
        <v>20</v>
      </c>
      <c r="H48" t="s">
        <v>21</v>
      </c>
      <c r="I48" t="s">
        <v>22</v>
      </c>
      <c r="J48">
        <v>1</v>
      </c>
      <c r="K48" s="4">
        <v>-45</v>
      </c>
      <c r="L48">
        <v>0</v>
      </c>
      <c r="M48">
        <v>0</v>
      </c>
      <c r="N48">
        <v>-45</v>
      </c>
      <c r="O48">
        <v>0</v>
      </c>
    </row>
    <row r="49" spans="1:15" x14ac:dyDescent="0.25">
      <c r="A49" t="s">
        <v>23</v>
      </c>
      <c r="B49" t="s">
        <v>71</v>
      </c>
      <c r="C49" t="s">
        <v>64</v>
      </c>
      <c r="D49" t="s">
        <v>64</v>
      </c>
      <c r="E49" t="s">
        <v>69</v>
      </c>
      <c r="F49" t="s">
        <v>76</v>
      </c>
      <c r="G49" t="s">
        <v>20</v>
      </c>
      <c r="H49" t="s">
        <v>21</v>
      </c>
      <c r="I49" t="s">
        <v>22</v>
      </c>
      <c r="J49">
        <v>1</v>
      </c>
      <c r="K49" s="4">
        <v>-26.37</v>
      </c>
      <c r="L49">
        <v>0</v>
      </c>
      <c r="M49">
        <v>0</v>
      </c>
      <c r="N49">
        <v>-26.37</v>
      </c>
      <c r="O49">
        <v>0</v>
      </c>
    </row>
    <row r="50" spans="1:15" x14ac:dyDescent="0.25">
      <c r="A50" t="s">
        <v>23</v>
      </c>
      <c r="B50" t="s">
        <v>71</v>
      </c>
      <c r="C50" t="s">
        <v>71</v>
      </c>
      <c r="D50" t="s">
        <v>71</v>
      </c>
      <c r="E50" t="s">
        <v>77</v>
      </c>
      <c r="F50" t="s">
        <v>140</v>
      </c>
      <c r="G50" t="s">
        <v>20</v>
      </c>
      <c r="H50" t="s">
        <v>21</v>
      </c>
      <c r="I50" t="s">
        <v>22</v>
      </c>
      <c r="J50">
        <v>1</v>
      </c>
      <c r="K50" s="4">
        <v>-24</v>
      </c>
      <c r="L50">
        <v>0</v>
      </c>
      <c r="M50">
        <v>0</v>
      </c>
      <c r="N50">
        <v>-24</v>
      </c>
      <c r="O50">
        <v>0</v>
      </c>
    </row>
    <row r="51" spans="1:15" x14ac:dyDescent="0.25">
      <c r="A51" t="s">
        <v>23</v>
      </c>
      <c r="B51" t="s">
        <v>71</v>
      </c>
      <c r="C51" t="s">
        <v>71</v>
      </c>
      <c r="D51" t="s">
        <v>71</v>
      </c>
      <c r="E51" t="s">
        <v>83</v>
      </c>
      <c r="F51" t="s">
        <v>141</v>
      </c>
      <c r="G51" t="s">
        <v>61</v>
      </c>
      <c r="H51" t="s">
        <v>27</v>
      </c>
      <c r="I51" t="s">
        <v>22</v>
      </c>
      <c r="J51">
        <v>0</v>
      </c>
      <c r="K51" s="5">
        <v>-947</v>
      </c>
      <c r="L51">
        <v>0</v>
      </c>
      <c r="M51">
        <v>0</v>
      </c>
      <c r="N51">
        <v>-947</v>
      </c>
      <c r="O51">
        <v>0</v>
      </c>
    </row>
    <row r="52" spans="1:15" x14ac:dyDescent="0.25">
      <c r="A52" t="s">
        <v>23</v>
      </c>
      <c r="B52" t="s">
        <v>142</v>
      </c>
      <c r="C52" t="s">
        <v>142</v>
      </c>
      <c r="D52" t="s">
        <v>142</v>
      </c>
      <c r="E52" t="s">
        <v>143</v>
      </c>
      <c r="F52" t="s">
        <v>144</v>
      </c>
      <c r="G52" t="s">
        <v>31</v>
      </c>
      <c r="H52" t="s">
        <v>27</v>
      </c>
      <c r="I52" t="s">
        <v>22</v>
      </c>
      <c r="J52">
        <v>0</v>
      </c>
      <c r="K52" s="5">
        <v>-1232.5</v>
      </c>
      <c r="L52">
        <v>0</v>
      </c>
      <c r="M52">
        <v>0</v>
      </c>
      <c r="N52">
        <v>-1232.5</v>
      </c>
      <c r="O52">
        <v>0</v>
      </c>
    </row>
    <row r="53" spans="1:15" x14ac:dyDescent="0.25">
      <c r="A53" t="s">
        <v>23</v>
      </c>
      <c r="B53" t="s">
        <v>16</v>
      </c>
      <c r="C53" t="s">
        <v>16</v>
      </c>
      <c r="D53" t="s">
        <v>16</v>
      </c>
      <c r="E53" t="s">
        <v>145</v>
      </c>
      <c r="F53" t="s">
        <v>146</v>
      </c>
      <c r="G53" t="s">
        <v>61</v>
      </c>
      <c r="H53" t="s">
        <v>21</v>
      </c>
      <c r="I53" t="s">
        <v>22</v>
      </c>
      <c r="J53">
        <v>0</v>
      </c>
      <c r="K53" s="4">
        <v>-18</v>
      </c>
      <c r="L53">
        <v>0</v>
      </c>
      <c r="M53">
        <v>0</v>
      </c>
      <c r="N53">
        <v>-18</v>
      </c>
      <c r="O53">
        <v>0</v>
      </c>
    </row>
  </sheetData>
  <autoFilter ref="A1:O53" xr:uid="{00000000-0001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Table1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Mariela</dc:creator>
  <cp:lastModifiedBy>pc04</cp:lastModifiedBy>
  <dcterms:created xsi:type="dcterms:W3CDTF">2025-12-02T19:21:00Z</dcterms:created>
  <dcterms:modified xsi:type="dcterms:W3CDTF">2025-12-02T20:45:43Z</dcterms:modified>
</cp:coreProperties>
</file>