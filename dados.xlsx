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OneDrive - MVT CAMPINAS SOLUCOES TRANSPORTES LTDA\Imagens\Pessoal\Oraculo\12 - Dezembro\"/>
    </mc:Choice>
  </mc:AlternateContent>
  <xr:revisionPtr revIDLastSave="0" documentId="13_ncr:1_{7704C012-BFD8-4609-8C03-A5FA304EEFA5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LIENTES" sheetId="1" r:id="rId1"/>
    <sheet name="LANCAMENTOS" sheetId="2" r:id="rId2"/>
    <sheet name="DASHBOARD" sheetId="3" r:id="rId3"/>
  </sheets>
  <definedNames>
    <definedName name="_xlnm._FilterDatabase" localSheetId="1" hidden="1">LANCAMENTOS!$A$1:$K$2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3" l="1"/>
  <c r="B21" i="3"/>
  <c r="B20" i="3"/>
  <c r="B19" i="3"/>
  <c r="B18" i="3"/>
  <c r="B17" i="3"/>
  <c r="B16" i="3"/>
  <c r="B27" i="3"/>
  <c r="B11" i="3"/>
  <c r="B10" i="3"/>
  <c r="B9" i="3"/>
  <c r="B7" i="3"/>
  <c r="B5" i="3"/>
  <c r="B4" i="3"/>
  <c r="B3" i="3"/>
</calcChain>
</file>

<file path=xl/sharedStrings.xml><?xml version="1.0" encoding="utf-8"?>
<sst xmlns="http://schemas.openxmlformats.org/spreadsheetml/2006/main" count="45" uniqueCount="42">
  <si>
    <t>Nome do Cliente</t>
  </si>
  <si>
    <t>CNPJ</t>
  </si>
  <si>
    <t>Responsável</t>
  </si>
  <si>
    <t>Email</t>
  </si>
  <si>
    <t>Oráculo da Voz</t>
  </si>
  <si>
    <t>Cliente</t>
  </si>
  <si>
    <t>Data Documento</t>
  </si>
  <si>
    <t>Descrição</t>
  </si>
  <si>
    <t>Categoria</t>
  </si>
  <si>
    <t>Forma de Pagamento</t>
  </si>
  <si>
    <t>Valor</t>
  </si>
  <si>
    <t>Já Pago? (Sim/Não)</t>
  </si>
  <si>
    <t>Data Pagamento</t>
  </si>
  <si>
    <t>Recorrente? (Sim/Não)</t>
  </si>
  <si>
    <t>Observações</t>
  </si>
  <si>
    <t>Status (Falta Info / Pronto / Lançado)</t>
  </si>
  <si>
    <t>Dashboard Essenza - Completo</t>
  </si>
  <si>
    <t>Total de Despesas:</t>
  </si>
  <si>
    <t>Total Pago:</t>
  </si>
  <si>
    <t>Total Aberto:</t>
  </si>
  <si>
    <t>Total Lançamentos:</t>
  </si>
  <si>
    <t>Falta Info:</t>
  </si>
  <si>
    <t>Pronto:</t>
  </si>
  <si>
    <t>Lançado:</t>
  </si>
  <si>
    <t>Total</t>
  </si>
  <si>
    <t>Café</t>
  </si>
  <si>
    <t>Material</t>
  </si>
  <si>
    <t>Marketing</t>
  </si>
  <si>
    <t>Operacional</t>
  </si>
  <si>
    <t>Serviços</t>
  </si>
  <si>
    <t>Outros</t>
  </si>
  <si>
    <t>Selecionar Cliente:</t>
  </si>
  <si>
    <t>Total Cliente Selecionado:</t>
  </si>
  <si>
    <t>39.283.541/0001-00 </t>
  </si>
  <si>
    <t>Cleu</t>
  </si>
  <si>
    <t>cleusacaldeira87@gmail.com</t>
  </si>
  <si>
    <t xml:space="preserve">DAS </t>
  </si>
  <si>
    <t>GUIA</t>
  </si>
  <si>
    <t>Não</t>
  </si>
  <si>
    <t>Sim</t>
  </si>
  <si>
    <t>Lançado</t>
  </si>
  <si>
    <t xml:space="preserve">Impostos e Lincenças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</si>
</sst>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5" formatCode="&quot;R$&quot;\ #,##0.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6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DD7EE"/>
        <bgColor rgb="FFBDD7E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6">
    <xf numFmtId="0" fontId="0" fillId="0" borderId="0" xfId="0"/>
    <xf numFmtId="0" fontId="1" fillId="2" borderId="0" xfId="0" applyFont="1" applyFill="1"/>
    <xf numFmtId="0" fontId="2" fillId="0" borderId="0" xfId="0" applyFont="1"/>
    <xf numFmtId="14" fontId="0" fillId="0" borderId="0" xfId="0" applyNumberFormat="1"/>
    <xf numFmtId="165" fontId="0" fillId="0" borderId="0" xfId="1" applyNumberFormat="1" applyFont="1"/>
    <xf numFmtId="165" fontId="0" fillId="0" borderId="0" xfId="0" applyNumberFormat="1"/>
  </cellXfs>
  <cellStyles count="2">
    <cellStyle name="Moeda" xfId="1" builtinId="4"/>
    <cellStyle name="Normal" xfId="0" builtinId="0"/>
  </cellStyles>
  <dxfs count="3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pt-BR"/>
              <a:t>Distribuição por Status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DASHBOARD!$B$10</c:f>
              <c:strCache>
                <c:ptCount val="1"/>
                <c:pt idx="0">
                  <c:v>0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DASHBOARD!$A$11:$A$13</c:f>
              <c:strCache>
                <c:ptCount val="1"/>
                <c:pt idx="0">
                  <c:v>Lançado:</c:v>
                </c:pt>
              </c:strCache>
            </c:strRef>
          </c:cat>
          <c:val>
            <c:numRef>
              <c:f>DASHBOARD!$B$11:$B$13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96-4558-83AE-0FB3A70BB7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pt-BR"/>
              <a:t>Status - Gráfico de Barras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DASHBOARD!$B$10</c:f>
              <c:strCache>
                <c:ptCount val="1"/>
                <c:pt idx="0">
                  <c:v>0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DASHBOARD!$A$11:$A$13</c:f>
              <c:strCache>
                <c:ptCount val="1"/>
                <c:pt idx="0">
                  <c:v>Lançado:</c:v>
                </c:pt>
              </c:strCache>
            </c:strRef>
          </c:cat>
          <c:val>
            <c:numRef>
              <c:f>DASHBOARD!$B$11:$B$13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08-4945-BB3B-C46C5DDB20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pt-BR"/>
              <a:t>Status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DASHBOARD!$B$8</c:f>
              <c:strCache>
                <c:ptCount val="1"/>
              </c:strCache>
            </c:strRef>
          </c:tx>
          <c:spPr>
            <a:ln>
              <a:prstDash val="solid"/>
            </a:ln>
          </c:spPr>
          <c:cat>
            <c:strRef>
              <c:f>DASHBOARD!$A$9:$A$11</c:f>
              <c:strCache>
                <c:ptCount val="3"/>
                <c:pt idx="0">
                  <c:v>Falta Info:</c:v>
                </c:pt>
                <c:pt idx="1">
                  <c:v>Pronto:</c:v>
                </c:pt>
                <c:pt idx="2">
                  <c:v>Lançado:</c:v>
                </c:pt>
              </c:strCache>
            </c:strRef>
          </c:cat>
          <c:val>
            <c:numRef>
              <c:f>DASHBOARD!$B$9:$B$11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42-4157-A703-2FA49D8B0C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pt-BR"/>
              <a:t>Despesas por Categoria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DASHBOARD!$B$15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DASHBOARD!$A$16:$A$22</c:f>
              <c:strCache>
                <c:ptCount val="7"/>
                <c:pt idx="0">
                  <c:v>Café</c:v>
                </c:pt>
                <c:pt idx="1">
                  <c:v>Material</c:v>
                </c:pt>
                <c:pt idx="2">
                  <c:v>Marketing</c:v>
                </c:pt>
                <c:pt idx="3">
                  <c:v>Operacional</c:v>
                </c:pt>
                <c:pt idx="4">
                  <c:v>Serviços</c:v>
                </c:pt>
                <c:pt idx="5">
                  <c:v>Impostos e Lincenças </c:v>
                </c:pt>
                <c:pt idx="6">
                  <c:v>Outros</c:v>
                </c:pt>
              </c:strCache>
            </c:strRef>
          </c:cat>
          <c:val>
            <c:numRef>
              <c:f>DASHBOARD!$B$16:$B$22</c:f>
              <c:numCache>
                <c:formatCode>"R$"\ #,##0.00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378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7C-4C8B-9CAD-48EC242018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overlay val="0"/>
        </c:title>
        <c:numFmt formatCode="&quot;R$&quot;\ #,##0.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5218574074074063"/>
          <c:y val="0.38387629629629627"/>
          <c:w val="0.24781425925925926"/>
          <c:h val="0.59539666666666669"/>
        </c:manualLayout>
      </c:layout>
      <c:overlay val="0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pt-BR"/>
              <a:t>Pago x Aberto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DASHBOARD!$B$3</c:f>
              <c:strCache>
                <c:ptCount val="1"/>
                <c:pt idx="0">
                  <c:v>378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DASHBOARD!$A$3:$A$5</c:f>
              <c:strCache>
                <c:ptCount val="3"/>
                <c:pt idx="0">
                  <c:v>Total de Despesas:</c:v>
                </c:pt>
                <c:pt idx="1">
                  <c:v>Total Pago:</c:v>
                </c:pt>
                <c:pt idx="2">
                  <c:v>Total Aberto:</c:v>
                </c:pt>
              </c:strCache>
            </c:strRef>
          </c:cat>
          <c:val>
            <c:numRef>
              <c:f>DASHBOARD!$B$4:$B$5</c:f>
              <c:numCache>
                <c:formatCode>General</c:formatCode>
                <c:ptCount val="2"/>
                <c:pt idx="0">
                  <c:v>0</c:v>
                </c:pt>
                <c:pt idx="1">
                  <c:v>378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F73-494C-8888-DCFD384CD4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396240</xdr:colOff>
      <xdr:row>0</xdr:row>
      <xdr:rowOff>53340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0</xdr:colOff>
      <xdr:row>19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11</xdr:col>
      <xdr:colOff>358140</xdr:colOff>
      <xdr:row>0</xdr:row>
      <xdr:rowOff>83820</xdr:rowOff>
    </xdr:from>
    <xdr:ext cx="540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594360</xdr:colOff>
      <xdr:row>18</xdr:row>
      <xdr:rowOff>167640</xdr:rowOff>
    </xdr:from>
    <xdr:ext cx="540000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1066800</xdr:colOff>
      <xdr:row>37</xdr:row>
      <xdr:rowOff>91440</xdr:rowOff>
    </xdr:from>
    <xdr:ext cx="5400000" cy="27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"/>
  <sheetViews>
    <sheetView workbookViewId="0">
      <selection activeCell="E12" sqref="E12"/>
    </sheetView>
  </sheetViews>
  <sheetFormatPr defaultRowHeight="14.4" x14ac:dyDescent="0.3"/>
  <cols>
    <col min="1" max="4" width="28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t="s">
        <v>4</v>
      </c>
      <c r="B2" t="s">
        <v>33</v>
      </c>
      <c r="C2" t="s">
        <v>34</v>
      </c>
      <c r="D2" t="s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"/>
  <sheetViews>
    <sheetView workbookViewId="0">
      <selection activeCell="B28" sqref="B28"/>
    </sheetView>
  </sheetViews>
  <sheetFormatPr defaultRowHeight="14.4" x14ac:dyDescent="0.3"/>
  <cols>
    <col min="1" max="11" width="25" customWidth="1"/>
  </cols>
  <sheetData>
    <row r="1" spans="1:11" x14ac:dyDescent="0.3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14</v>
      </c>
      <c r="K1" s="1" t="s">
        <v>15</v>
      </c>
    </row>
    <row r="2" spans="1:11" x14ac:dyDescent="0.3">
      <c r="A2" t="s">
        <v>4</v>
      </c>
      <c r="B2" s="3">
        <v>46013</v>
      </c>
      <c r="C2" t="s">
        <v>36</v>
      </c>
      <c r="D2" t="s">
        <v>41</v>
      </c>
      <c r="E2" t="s">
        <v>37</v>
      </c>
      <c r="F2" s="4">
        <v>378</v>
      </c>
      <c r="G2" t="s">
        <v>38</v>
      </c>
      <c r="H2" s="3"/>
      <c r="I2" t="s">
        <v>39</v>
      </c>
      <c r="K2" t="s">
        <v>40</v>
      </c>
    </row>
  </sheetData>
  <autoFilter ref="A1:K2" xr:uid="{00000000-0001-0000-0100-000000000000}"/>
  <conditionalFormatting sqref="K2:K500">
    <cfRule type="expression" dxfId="2" priority="1">
      <formula>$K2="Falta Info"</formula>
    </cfRule>
    <cfRule type="expression" dxfId="1" priority="2">
      <formula>$K2="Pronto"</formula>
    </cfRule>
    <cfRule type="expression" dxfId="0" priority="3">
      <formula>$K2="Lançado"</formula>
    </cfRule>
  </conditionalFormatting>
  <dataValidations count="2">
    <dataValidation type="list" allowBlank="1" sqref="G2:G500 I2:I500" xr:uid="{00000000-0002-0000-0100-000001000000}">
      <formula1>"Sim,Não"</formula1>
    </dataValidation>
    <dataValidation type="list" allowBlank="1" sqref="K2:K500" xr:uid="{00000000-0002-0000-0100-000002000000}">
      <formula1>"Falta Info,Pronto,Lançado"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CLIENTES!$A$2:$A$200</xm:f>
          </x14:formula1>
          <xm:sqref>A2:A500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7"/>
  <sheetViews>
    <sheetView tabSelected="1" workbookViewId="0">
      <selection activeCell="K36" sqref="K36"/>
    </sheetView>
  </sheetViews>
  <sheetFormatPr defaultRowHeight="14.4" x14ac:dyDescent="0.3"/>
  <cols>
    <col min="1" max="2" width="28" customWidth="1"/>
  </cols>
  <sheetData>
    <row r="1" spans="1:2" ht="21" x14ac:dyDescent="0.4">
      <c r="A1" s="2" t="s">
        <v>16</v>
      </c>
    </row>
    <row r="3" spans="1:2" x14ac:dyDescent="0.3">
      <c r="A3" t="s">
        <v>17</v>
      </c>
      <c r="B3">
        <f>SUM(LANCAMENTOS!F2:F500)</f>
        <v>378</v>
      </c>
    </row>
    <row r="4" spans="1:2" x14ac:dyDescent="0.3">
      <c r="A4" t="s">
        <v>18</v>
      </c>
      <c r="B4">
        <f>SUMIF(LANCAMENTOS!G2:G500,"Sim",LANCAMENTOS!F2:F500)</f>
        <v>0</v>
      </c>
    </row>
    <row r="5" spans="1:2" x14ac:dyDescent="0.3">
      <c r="A5" t="s">
        <v>19</v>
      </c>
      <c r="B5">
        <f>SUMIF(LANCAMENTOS!G2:G500,"Não",LANCAMENTOS!F2:F500)</f>
        <v>378</v>
      </c>
    </row>
    <row r="7" spans="1:2" x14ac:dyDescent="0.3">
      <c r="A7" t="s">
        <v>20</v>
      </c>
      <c r="B7">
        <f>COUNTA(LANCAMENTOS!B2:B500)</f>
        <v>1</v>
      </c>
    </row>
    <row r="9" spans="1:2" x14ac:dyDescent="0.3">
      <c r="A9" t="s">
        <v>21</v>
      </c>
      <c r="B9">
        <f>COUNTIF(LANCAMENTOS!K2:K500,"Falta Info")</f>
        <v>0</v>
      </c>
    </row>
    <row r="10" spans="1:2" x14ac:dyDescent="0.3">
      <c r="A10" t="s">
        <v>22</v>
      </c>
      <c r="B10">
        <f>COUNTIF(LANCAMENTOS!K2:K500,"Pronto")</f>
        <v>0</v>
      </c>
    </row>
    <row r="11" spans="1:2" x14ac:dyDescent="0.3">
      <c r="A11" t="s">
        <v>23</v>
      </c>
      <c r="B11">
        <f>COUNTIF(LANCAMENTOS!K2:K500,"Lançado")</f>
        <v>1</v>
      </c>
    </row>
    <row r="15" spans="1:2" x14ac:dyDescent="0.3">
      <c r="A15" t="s">
        <v>8</v>
      </c>
      <c r="B15" t="s">
        <v>24</v>
      </c>
    </row>
    <row r="16" spans="1:2" x14ac:dyDescent="0.3">
      <c r="A16" t="s">
        <v>25</v>
      </c>
      <c r="B16" s="5">
        <f>SUMIF(LANCAMENTOS!D$2:D$500,A16,LANCAMENTOS!F$2:F$500)</f>
        <v>0</v>
      </c>
    </row>
    <row r="17" spans="1:2" x14ac:dyDescent="0.3">
      <c r="A17" t="s">
        <v>26</v>
      </c>
      <c r="B17" s="5">
        <f>SUMIF(LANCAMENTOS!D$2:D$500,A17,LANCAMENTOS!F$2:F$500)</f>
        <v>0</v>
      </c>
    </row>
    <row r="18" spans="1:2" x14ac:dyDescent="0.3">
      <c r="A18" t="s">
        <v>27</v>
      </c>
      <c r="B18" s="5">
        <f>SUMIF(LANCAMENTOS!D$2:D$500,A18,LANCAMENTOS!F$2:F$500)</f>
        <v>0</v>
      </c>
    </row>
    <row r="19" spans="1:2" x14ac:dyDescent="0.3">
      <c r="A19" t="s">
        <v>28</v>
      </c>
      <c r="B19" s="5">
        <f>SUMIF(LANCAMENTOS!D$2:D$500,A19,LANCAMENTOS!F$2:F$500)</f>
        <v>0</v>
      </c>
    </row>
    <row r="20" spans="1:2" x14ac:dyDescent="0.3">
      <c r="A20" t="s">
        <v>29</v>
      </c>
      <c r="B20" s="5">
        <f>SUMIF(LANCAMENTOS!D$2:D$500,A20,LANCAMENTOS!F$2:F$500)</f>
        <v>0</v>
      </c>
    </row>
    <row r="21" spans="1:2" x14ac:dyDescent="0.3">
      <c r="A21" t="s">
        <v>41</v>
      </c>
      <c r="B21" s="5">
        <f>SUMIF(LANCAMENTOS!D$2:D$500,A21,LANCAMENTOS!F$2:F$500)</f>
        <v>378</v>
      </c>
    </row>
    <row r="22" spans="1:2" x14ac:dyDescent="0.3">
      <c r="A22" t="s">
        <v>30</v>
      </c>
      <c r="B22" s="5">
        <f>SUMIF(LANCAMENTOS!D$2:D$500,A22,LANCAMENTOS!F$2:F$500)</f>
        <v>0</v>
      </c>
    </row>
    <row r="25" spans="1:2" x14ac:dyDescent="0.3">
      <c r="A25" t="s">
        <v>31</v>
      </c>
    </row>
    <row r="27" spans="1:2" x14ac:dyDescent="0.3">
      <c r="A27" t="s">
        <v>32</v>
      </c>
      <c r="B27">
        <f>SUMIF(LANCAMENTOS!A2:A500,B25,LANCAMENTOS!F2:F500)</f>
        <v>0</v>
      </c>
    </row>
  </sheetData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CLIENTES!$A$2:$A$200</xm:f>
          </x14:formula1>
          <xm:sqref>B25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CLIENTES</vt:lpstr>
      <vt:lpstr>LANCAMENTOS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pc04</cp:lastModifiedBy>
  <dcterms:created xsi:type="dcterms:W3CDTF">2025-12-15T13:03:03Z</dcterms:created>
  <dcterms:modified xsi:type="dcterms:W3CDTF">2025-12-15T14:26:16Z</dcterms:modified>
</cp:coreProperties>
</file>